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640150118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91773764fa49bf"/>
    <x:sheet xmlns:r="http://schemas.openxmlformats.org/officeDocument/2006/relationships" name="Overall_Summary" sheetId="2" r:id="R0e52ae2e6a3649e2"/>
    <x:sheet xmlns:r="http://schemas.openxmlformats.org/officeDocument/2006/relationships" name="Price_Analysis" sheetId="3" r:id="Rebdd8cfe79aa4b95"/>
    <x:sheet xmlns:r="http://schemas.openxmlformats.org/officeDocument/2006/relationships" name="Item_Analysis" sheetId="4" r:id="R685743ab6d754cde"/>
    <x:sheet xmlns:r="http://schemas.openxmlformats.org/officeDocument/2006/relationships" name="Category_Analysis" sheetId="5" r:id="R980cfc0fc3064e47"/>
    <x:sheet xmlns:r="http://schemas.openxmlformats.org/officeDocument/2006/relationships" name="Customer_Analysis" sheetId="6" r:id="R6ec007916b824fbf"/>
    <x:sheet xmlns:r="http://schemas.openxmlformats.org/officeDocument/2006/relationships" name="Inventory_Analysis" sheetId="7" r:id="Rb0b7696c02da4206"/>
    <x:sheet xmlns:r="http://schemas.openxmlformats.org/officeDocument/2006/relationships" name="Cost_Buildup" sheetId="8" r:id="Ra15708e330e04997"/>
    <x:sheet xmlns:r="http://schemas.openxmlformats.org/officeDocument/2006/relationships" name="Pivot_Product" sheetId="9" r:id="Rdb3897b18cb84644"/>
    <x:sheet xmlns:r="http://schemas.openxmlformats.org/officeDocument/2006/relationships" name="Sales_Data" sheetId="10" r:id="R65e85304791149ea"/>
    <x:sheet xmlns:r="http://schemas.openxmlformats.org/officeDocument/2006/relationships" name="Purchase_Data" sheetId="11" r:id="R1fb1fc58e2fa4a3a"/>
    <x:sheet xmlns:r="http://schemas.openxmlformats.org/officeDocument/2006/relationships" name="Portfolio_ReadMe" sheetId="12" r:id="Rb913d25a94d6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%"/>
    <x:numFmt numFmtId="202" formatCode="0.00"/>
    <x:numFmt numFmtId="203" formatCode="0.0,&quot;K&quot;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22"/>
      <x:color rgb="FFFFFFFF"/>
      <x:name val="Carlito"/>
    </x:font>
    <x:font>
      <x:b/>
      <x:sz val="11"/>
      <x:color rgb="FF17365D"/>
      <x:name val="Carlito"/>
    </x:font>
    <x:font>
      <x:sz val="11"/>
      <x:color rgb="FF17365D"/>
      <x:name val="Carlito"/>
    </x:font>
    <x:font>
      <x:b/>
      <x:sz val="10"/>
      <x:color rgb="FF17365D"/>
      <x:name val="Carlito"/>
    </x:font>
    <x:font>
      <x:b/>
      <x:sz val="18"/>
      <x:color rgb="FF1F1F1F"/>
      <x:name val="Carlito"/>
    </x:font>
    <x:font>
      <x:b/>
      <x:sz val="13"/>
      <x:color rgb="FFFFFFFF"/>
      <x:name val="Carlito"/>
    </x:font>
    <x:font>
      <x:sz val="11"/>
      <x:color rgb="FF1F1F1F"/>
      <x:name val="Carlito"/>
    </x:font>
    <x:font>
      <x:i/>
      <x:sz val="9"/>
      <x:name val="Carlito"/>
    </x:font>
    <x:font>
      <x:b/>
      <x:sz val="11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15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4" borderId="17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2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5" xfId="0" applyNumberFormat="1" applyFont="1" applyFill="1" applyBorder="1" applyAlignment="1">
      <x:alignment horizontal="center" vertical="center"/>
    </x:xf>
    <x:xf numFmtId="0" fontId="6" fillId="4" borderId="16" xfId="0" applyNumberFormat="1" applyFont="1" applyFill="1" applyBorder="1" applyAlignment="1">
      <x:alignment horizontal="center" vertical="center"/>
    </x:xf>
    <x:xf numFmtId="0" fontId="6" fillId="4" borderId="17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8" fillId="4" borderId="5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horizontal="center" vertical="center"/>
    </x:xf>
    <x:xf numFmtId="203" fontId="8" fillId="4" borderId="5" xfId="0" applyNumberFormat="1" applyFont="1" applyFill="1" applyBorder="1" applyAlignment="1">
      <x:alignment horizontal="center" vertical="center"/>
    </x:xf>
    <x:xf numFmtId="203" fontId="8" fillId="4" borderId="13" xfId="0" applyNumberFormat="1" applyFont="1" applyFill="1" applyBorder="1" applyAlignment="1">
      <x:alignment horizontal="center" vertical="center"/>
    </x:xf>
    <x:xf numFmtId="201" fontId="8" fillId="4" borderId="5" xfId="0" applyNumberFormat="1" applyFont="1" applyFill="1" applyBorder="1" applyAlignment="1">
      <x:alignment horizontal="center" vertical="center"/>
    </x:xf>
    <x:xf numFmtId="201" fontId="8" fillId="4" borderId="13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203" fontId="8" fillId="4" borderId="0" xfId="0" applyNumberFormat="1" applyFont="1" applyFill="1" applyBorder="1" applyAlignment="1">
      <x:alignment horizontal="center" vertical="center"/>
    </x:xf>
    <x:xf numFmtId="201" fontId="8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3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40b53237046fc" /><Relationship Type="http://schemas.openxmlformats.org/officeDocument/2006/relationships/theme" Target="/xl/theme/theme1.xml" Id="R84e3233a50bf471a" /><Relationship Type="http://schemas.openxmlformats.org/officeDocument/2006/relationships/sharedStrings" Target="/xl/sharedStrings.xml" Id="Re0926ef921124c58" /><Relationship Type="http://schemas.openxmlformats.org/officeDocument/2006/relationships/worksheet" Target="/xl/worksheets/sheet1.xml" Id="Rbc91773764fa49bf" /><Relationship Type="http://schemas.openxmlformats.org/officeDocument/2006/relationships/worksheet" Target="/xl/worksheets/sheet2.xml" Id="R0e52ae2e6a3649e2" /><Relationship Type="http://schemas.openxmlformats.org/officeDocument/2006/relationships/worksheet" Target="/xl/worksheets/sheet3.xml" Id="Rebdd8cfe79aa4b95" /><Relationship Type="http://schemas.openxmlformats.org/officeDocument/2006/relationships/worksheet" Target="/xl/worksheets/sheet4.xml" Id="R685743ab6d754cde" /><Relationship Type="http://schemas.openxmlformats.org/officeDocument/2006/relationships/worksheet" Target="/xl/worksheets/sheet5.xml" Id="R980cfc0fc3064e47" /><Relationship Type="http://schemas.openxmlformats.org/officeDocument/2006/relationships/worksheet" Target="/xl/worksheets/sheet6.xml" Id="R6ec007916b824fbf" /><Relationship Type="http://schemas.openxmlformats.org/officeDocument/2006/relationships/worksheet" Target="/xl/worksheets/sheet7.xml" Id="Rb0b7696c02da4206" /><Relationship Type="http://schemas.openxmlformats.org/officeDocument/2006/relationships/worksheet" Target="/xl/worksheets/sheet8.xml" Id="Ra15708e330e04997" /><Relationship Type="http://schemas.openxmlformats.org/officeDocument/2006/relationships/worksheet" Target="/xl/worksheets/sheet9.xml" Id="Rdb3897b18cb84644" /><Relationship Type="http://schemas.openxmlformats.org/officeDocument/2006/relationships/worksheet" Target="/xl/worksheets/sheet10.xml" Id="R65e85304791149ea" /><Relationship Type="http://schemas.openxmlformats.org/officeDocument/2006/relationships/worksheet" Target="/xl/worksheets/sheet11.xml" Id="R1fb1fc58e2fa4a3a" /><Relationship Type="http://schemas.openxmlformats.org/officeDocument/2006/relationships/worksheet" Target="/xl/worksheets/sheet12.xml" Id="Rb913d25a94d640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492c0e056c4770" /><Relationship Type="http://schemas.openxmlformats.org/officeDocument/2006/relationships/chart" Target="/xl/drawings/charts/chart2.xml" Id="R178d3b6d24d447b4" /><Relationship Type="http://schemas.openxmlformats.org/officeDocument/2006/relationships/chart" Target="/xl/drawings/charts/chart3.xml" Id="Rafc65a84e6d04019" /><Relationship Type="http://schemas.openxmlformats.org/officeDocument/2006/relationships/chart" Target="/xl/drawings/charts/chart4.xml" Id="Redff99281af040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Sales vs Total Cost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 Sales vs Total Cost</c:v>
          </c:tx>
          <c:cat>
            <c:strRef>
              <c:f>'Pivot_Product'!$J$4:$J$5</c:f>
              <c:strCache>
                <c:ptCount val="0"/>
              </c:strCache>
            </c:strRef>
          </c:cat>
          <c:val>
            <c:numRef>
              <c:f>'Pivot_Product'!$K$4:$K$5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Profit by Category</c:v>
          </c:tx>
          <c:cat>
            <c:strRef>
              <c:f>'Pivot_Product'!$D$4:$D$13</c:f>
              <c:strCache>
                <c:ptCount val="0"/>
              </c:strCache>
            </c:strRef>
          </c:cat>
          <c:val>
            <c:numRef>
              <c:f>'Pivot_Product'!$E$4:$E$13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Products by Total Profit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Top 10 Products by Total Profit</c:v>
          </c:tx>
          <c:cat>
            <c:strRef>
              <c:f>'Pivot_Product'!$A$4:$A$13</c:f>
              <c:strCache>
                <c:ptCount val="0"/>
              </c:strCache>
            </c:strRef>
          </c:cat>
          <c:val>
            <c:numRef>
              <c:f>'Pivot_Product'!$B$4:$B$13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Customers by Total Profit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Top 10 Customers by Total Profit</c:v>
          </c:tx>
          <c:cat>
            <c:strRef>
              <c:f>'Pivot_Product'!$G$4:$G$13</c:f>
              <c:strCache>
                <c:ptCount val="0"/>
              </c:strCache>
            </c:strRef>
          </c:cat>
          <c:val>
            <c:numRef>
              <c:f>'Pivot_Product'!$H$4:$H$13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492c0e056c4770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8d3b6d24d447b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65a84e6d04019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ff99281af040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d66592772f402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0" t="str">
        <x:v>SALES &amp; PROFITABILITY DASHBOARD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A3" s="36" t="str">
        <x:v>Sales | Cost | Pricing | Profit Analysis — Anonymized Portfolio Version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>
      <x:c r="A4" s="122" t="str">
        <x:v>Names and numeric values are transformed for confidentiality; percentages and relative patterns are preserved.</x:v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  <x:c r="L4" s="122"/>
      <x:c r="M4" s="122"/>
    </x:row>
    <x:row r="5">
      <x:c r="A5" s="96" t="str">
        <x:v>TOTAL SALES</x:v>
      </x:c>
      <x:c r="B5" s="60"/>
      <x:c r="C5" s="61"/>
      <x:c r="D5" s="96" t="str">
        <x:v>TOTAL COST</x:v>
      </x:c>
      <x:c r="E5" s="60"/>
      <x:c r="F5" s="61"/>
      <x:c r="G5" s="96" t="str">
        <x:v>TOTAL PROFIT</x:v>
      </x:c>
      <x:c r="H5" s="60"/>
      <x:c r="I5" s="61"/>
      <x:c r="J5" s="96" t="str">
        <x:v>QUANTITY SOLD</x:v>
      </x:c>
      <x:c r="K5" s="60"/>
      <x:c r="L5" s="61"/>
      <x:c r="M5" s="96" t="str">
        <x:v>GROSS MARGIN %</x:v>
      </x:c>
      <x:c r="N5" s="61"/>
    </x:row>
    <x:row r="6">
      <x:c r="A6" s="100" t="n">
        <x:v>412551.7352361</x:v>
      </x:c>
      <x:c r="B6" s="63"/>
      <x:c r="C6" s="64"/>
      <x:c r="D6" s="100" t="n">
        <x:v>250847.393506149</x:v>
      </x:c>
      <x:c r="E6" s="63"/>
      <x:c r="F6" s="64"/>
      <x:c r="G6" s="100" t="n">
        <x:v>161704.34172995097</x:v>
      </x:c>
      <x:c r="H6" s="63"/>
      <x:c r="I6" s="64"/>
      <x:c r="J6" s="100" t="n">
        <x:v>171810.6482664</x:v>
      </x:c>
      <x:c r="K6" s="63"/>
      <x:c r="L6" s="64"/>
      <x:c r="M6" s="102" t="n">
        <x:v>0.39196136609971816</x:v>
      </x:c>
      <x:c r="N6" s="64"/>
    </x:row>
    <x:row r="7">
      <x:c r="A7" s="65"/>
      <x:c r="B7" s="66"/>
      <x:c r="C7" s="67"/>
      <x:c r="D7" s="65"/>
      <x:c r="E7" s="66"/>
      <x:c r="F7" s="67"/>
      <x:c r="G7" s="65"/>
      <x:c r="H7" s="66"/>
      <x:c r="I7" s="67"/>
      <x:c r="J7" s="65"/>
      <x:c r="K7" s="66"/>
      <x:c r="L7" s="67"/>
      <x:c r="M7" s="65"/>
      <x:c r="N7" s="67"/>
    </x:row>
    <x:row r="42">
      <x:c r="A42" s="105" t="str">
        <x:v>KEY BUSINESS INSIGHTS</x:v>
      </x:c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</x:row>
    <x:row r="43">
      <x:c r="A43" s="112" t="str">
        <x:v>Top Product by Total Profit</x:v>
      </x:c>
      <x:c r="B43" s="109"/>
      <x:c r="C43" s="109"/>
      <x:c r="D43" s="109" t="str">
        <x:v>Product 011</x:v>
      </x:c>
      <x:c r="E43" s="109"/>
      <x:c r="F43" s="109"/>
      <x:c r="G43" s="109"/>
      <x:c r="H43" s="109"/>
      <x:c r="I43" s="109"/>
      <x:c r="J43" s="109"/>
      <x:c r="K43" s="109"/>
      <x:c r="L43" s="114" t="n">
        <x:v>21361.264703999997</x:v>
      </x:c>
      <x:c r="M43" s="109"/>
      <x:c r="N43" s="109"/>
    </x:row>
    <x:row r="44">
      <x:c r="A44" s="112" t="str">
        <x:v>Top Category by Total Profit</x:v>
      </x:c>
      <x:c r="B44" s="109"/>
      <x:c r="C44" s="109"/>
      <x:c r="D44" s="109" t="str">
        <x:v>Category 01</x:v>
      </x:c>
      <x:c r="E44" s="109"/>
      <x:c r="F44" s="109"/>
      <x:c r="G44" s="109"/>
      <x:c r="H44" s="109"/>
      <x:c r="I44" s="109"/>
      <x:c r="J44" s="109"/>
      <x:c r="K44" s="109"/>
      <x:c r="L44" s="114" t="n">
        <x:v>64724.381378351</x:v>
      </x:c>
      <x:c r="M44" s="109"/>
      <x:c r="N44" s="109"/>
    </x:row>
    <x:row r="45">
      <x:c r="A45" s="112" t="str">
        <x:v>Top Customer by Total Profit</x:v>
      </x:c>
      <x:c r="B45" s="109"/>
      <x:c r="C45" s="109"/>
      <x:c r="D45" s="109" t="str">
        <x:v>Customer 009</x:v>
      </x:c>
      <x:c r="E45" s="109"/>
      <x:c r="F45" s="109"/>
      <x:c r="G45" s="109"/>
      <x:c r="H45" s="109"/>
      <x:c r="I45" s="109"/>
      <x:c r="J45" s="109"/>
      <x:c r="K45" s="109"/>
      <x:c r="L45" s="114" t="n">
        <x:v>29656.1052452</x:v>
      </x:c>
      <x:c r="M45" s="109"/>
      <x:c r="N45" s="109"/>
    </x:row>
    <x:row r="46">
      <x:c r="A46" s="112" t="str">
        <x:v>Largest Loss-Making Category</x:v>
      </x:c>
      <x:c r="B46" s="109"/>
      <x:c r="C46" s="109"/>
      <x:c r="D46" s="109" t="str">
        <x:v>Category 09</x:v>
      </x:c>
      <x:c r="E46" s="109"/>
      <x:c r="F46" s="109"/>
      <x:c r="G46" s="109"/>
      <x:c r="H46" s="109"/>
      <x:c r="I46" s="109"/>
      <x:c r="J46" s="109"/>
      <x:c r="K46" s="109"/>
      <x:c r="L46" s="114" t="n">
        <x:v>-2588.087154</x:v>
      </x:c>
      <x:c r="M46" s="109"/>
      <x:c r="N46" s="109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42:N42"/>
    <x:mergeCell ref="A43:C43"/>
    <x:mergeCell ref="D43:K43"/>
    <x:mergeCell ref="L43:N43"/>
    <x:mergeCell ref="A44:C44"/>
    <x:mergeCell ref="D44:K44"/>
    <x:mergeCell ref="L44:N44"/>
    <x:mergeCell ref="A45:C45"/>
    <x:mergeCell ref="D45:K45"/>
    <x:mergeCell ref="L45:N45"/>
    <x:mergeCell ref="A46:C46"/>
    <x:mergeCell ref="D46:K46"/>
    <x:mergeCell ref="L46:N46"/>
    <x:mergeCell ref="A3:M3"/>
    <x:mergeCell ref="A4:M4"/>
  </x:mergeCells>
  <x:pageMargins left="0.7" right="0.7" top="0.75" bottom="0.75" header="0.3" footer="0.3"/>
  <x:drawing xmlns:r="http://schemas.openxmlformats.org/officeDocument/2006/relationships" r:id="Rf4d66592772f4026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</x:cols>
  <x:sheetData>
    <x:row r="1">
      <x:c r="A1" s="14" t="str">
        <x:v>Overall Business Performance — Public Portfolio Version</x:v>
      </x:c>
      <x:c r="B1" s="14"/>
      <x:c r="C1" s="14"/>
      <x:c r="D1" s="14"/>
    </x:row>
    <x:row r="2">
      <x:c r="A2" s="122" t="str">
        <x:v>CONFIDENTIALITY NOTE: Names and numeric values have been anonymized/transformed. Percentages and relative performance patterns are preserved for portfolio demonstration.</x:v>
      </x:c>
      <x:c r="B2" s="122"/>
      <x:c r="C2" s="122"/>
    </x:row>
    <x:row r="3">
      <x:c r="A3" s="6" t="str">
        <x:v>Metric</x:v>
      </x:c>
      <x:c r="B3" s="6" t="str">
        <x:v>Value</x:v>
      </x:c>
    </x:row>
    <x:row r="4">
      <x:c r="A4" t="str">
        <x:v>Total Quantity Sold</x:v>
      </x:c>
      <x:c r="B4" s="18" t="n">
        <x:v>171810.6482664</x:v>
      </x:c>
    </x:row>
    <x:row r="5">
      <x:c r="A5" t="str">
        <x:v>Total Sales</x:v>
      </x:c>
      <x:c r="B5" s="18" t="n">
        <x:v>412551.7352361</x:v>
      </x:c>
    </x:row>
    <x:row r="6">
      <x:c r="A6" t="str">
        <x:v>Total Cost</x:v>
      </x:c>
      <x:c r="B6" s="18" t="n">
        <x:v>250847.393506149</x:v>
      </x:c>
    </x:row>
    <x:row r="7">
      <x:c r="A7" t="str">
        <x:v>Total Profit</x:v>
      </x:c>
      <x:c r="B7" s="18" t="n">
        <x:v>161704.34172995097</x:v>
      </x:c>
    </x:row>
    <x:row r="8">
      <x:c r="A8" t="str">
        <x:v>Markup %</x:v>
      </x:c>
      <x:c r="B8" s="20" t="n">
        <x:f>IFERROR(B7/B6,0)</x:f>
        <x:v>0.644632337891871</x:v>
      </x:c>
    </x:row>
    <x:row r="9">
      <x:c r="A9" t="str">
        <x:v>Gross Margin %</x:v>
      </x:c>
      <x:c r="B9" s="20" t="n">
        <x:f>IFERROR(B7/B5,0)</x:f>
        <x:v>0.39196136609971816</x:v>
      </x:c>
    </x:row>
    <x:row r="11">
      <x:c r="A11" s="6" t="str">
        <x:v>Key Business Insights</x:v>
      </x:c>
      <x:c r="B11" s="6" t="str">
        <x:v>Result</x:v>
      </x:c>
      <x:c r="C11" s="6" t="str">
        <x:v>Total Profit</x:v>
      </x:c>
    </x:row>
    <x:row r="12">
      <x:c r="A12" t="str">
        <x:v>Top Product by Total Profit</x:v>
      </x:c>
      <x:c r="B12" t="str">
        <x:v>Product 011</x:v>
      </x:c>
      <x:c r="C12" s="18" t="n">
        <x:v>21361.264703999997</x:v>
      </x:c>
    </x:row>
    <x:row r="13">
      <x:c r="A13" t="str">
        <x:v>Top Category by Total Profit</x:v>
      </x:c>
      <x:c r="B13" t="str">
        <x:v>Category 01</x:v>
      </x:c>
      <x:c r="C13" s="18" t="n">
        <x:v>64724.381378351</x:v>
      </x:c>
    </x:row>
    <x:row r="14">
      <x:c r="A14" t="str">
        <x:v>Top Customer by Total Profit</x:v>
      </x:c>
      <x:c r="B14" t="str">
        <x:v>Customer 009</x:v>
      </x:c>
      <x:c r="C14" s="18" t="n">
        <x:v>29656.1052452</x:v>
      </x:c>
    </x:row>
    <x:row r="15">
      <x:c r="A15" t="str">
        <x:v>Largest Loss-Making Category</x:v>
      </x:c>
      <x:c r="B15" t="str">
        <x:v>Category 09</x:v>
      </x:c>
      <x:c r="C15" s="18" t="n">
        <x:v>-2588.087154</x:v>
      </x:c>
    </x:row>
  </x:sheetData>
  <x:mergeCells>
    <x:mergeCell ref="A1:D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SKU Code</x:v>
      </x:c>
      <x:c r="B1" s="6" t="str">
        <x:v>Product</x:v>
      </x:c>
      <x:c r="C1" s="6" t="str">
        <x:v>Purchase Price</x:v>
      </x:c>
      <x:c r="D1" s="6" t="str">
        <x:v>Avg Selling Price</x:v>
      </x:c>
      <x:c r="E1" s="6" t="str">
        <x:v>Profit per Unit</x:v>
      </x:c>
      <x:c r="F1" s="6" t="str">
        <x:v>Markup %</x:v>
      </x:c>
      <x:c r="G1" s="6" t="str">
        <x:v>Gross Margin %</x:v>
      </x:c>
      <x:c r="H1" s="6" t="str">
        <x:v>Performance</x:v>
      </x:c>
    </x:row>
    <x:row r="2">
      <x:c r="A2" t="str">
        <x:v>SKU-001</x:v>
      </x:c>
      <x:c r="B2" t="str">
        <x:v>Product 001</x:v>
      </x:c>
      <x:c r="C2" s="22" t="n">
        <x:v>7.1318325</x:v>
      </x:c>
      <x:c r="D2" s="22"/>
      <x:c r="E2" s="22" t="str">
        <x:f>IF(OR(C2="",D2=""),"",D2-C2)</x:f>
      </x:c>
      <x:c r="F2" s="20" t="n">
        <x:f>IFERROR(E2/C2,0)</x:f>
        <x:v>0</x:v>
      </x:c>
      <x:c r="G2" s="20" t="n">
        <x:f>IFERROR(E2/D2,0)</x:f>
        <x:v>0</x:v>
      </x:c>
      <x:c r="H2" t="str">
        <x:f>IF(E2="","",IF(E2&gt;0,"Profitable",IF(E2&lt;0,"Loss-Making","Break-even")))</x:f>
      </x:c>
    </x:row>
    <x:row r="3">
      <x:c r="A3" t="str">
        <x:v>SKU-002</x:v>
      </x:c>
      <x:c r="B3" t="str">
        <x:v>Product 002</x:v>
      </x:c>
      <x:c r="C3" s="22" t="n">
        <x:v>4.315673</x:v>
      </x:c>
      <x:c r="D3" s="22" t="n">
        <x:v>8.99098541666669</x:v>
      </x:c>
      <x:c r="E3" s="22" t="n">
        <x:f>IF(OR(C3="",D3=""),"",D3-C3)</x:f>
        <x:v>4.67531241666669</x:v>
      </x:c>
      <x:c r="F3" s="20" t="n">
        <x:f>IFERROR(E3/C3,0)</x:f>
        <x:v>1.0833333333333388</x:v>
      </x:c>
      <x:c r="G3" s="20" t="n">
        <x:f>IFERROR(E3/D3,0)</x:f>
        <x:v>0.5200000000000012</x:v>
      </x:c>
      <x:c r="H3" t="str">
        <x:f>IF(E3="","",IF(E3&gt;0,"Profitable",IF(E3&lt;0,"Loss-Making","Break-even")))</x:f>
        <x:v>Profitable</x:v>
      </x:c>
    </x:row>
    <x:row r="4">
      <x:c r="A4" t="str">
        <x:v>SKU-003</x:v>
      </x:c>
      <x:c r="B4" t="str">
        <x:v>Product 003</x:v>
      </x:c>
      <x:c r="C4" s="22" t="n">
        <x:v>4.315673</x:v>
      </x:c>
      <x:c r="D4" s="22" t="n">
        <x:v>8.993987823119534</x:v>
      </x:c>
      <x:c r="E4" s="22" t="n">
        <x:f>IF(OR(C4="",D4=""),"",D4-C4)</x:f>
        <x:v>4.678314823119534</x:v>
      </x:c>
      <x:c r="F4" s="20" t="n">
        <x:f>IFERROR(E4/C4,0)</x:f>
        <x:v>1.0840290316526608</x:v>
      </x:c>
      <x:c r="G4" s="20" t="n">
        <x:f>IFERROR(E4/D4,0)</x:f>
        <x:v>0.5201602353845389</x:v>
      </x:c>
      <x:c r="H4" t="str">
        <x:f>IF(E4="","",IF(E4&gt;0,"Profitable",IF(E4&lt;0,"Loss-Making","Break-even")))</x:f>
        <x:v>Profitable</x:v>
      </x:c>
    </x:row>
    <x:row r="5">
      <x:c r="A5" t="str">
        <x:v>SKU-004</x:v>
      </x:c>
      <x:c r="B5" t="str">
        <x:v>Product 004</x:v>
      </x:c>
      <x:c r="C5" s="22" t="n">
        <x:v>4.315673</x:v>
      </x:c>
      <x:c r="D5" s="22" t="n">
        <x:v>7.467428226851855</x:v>
      </x:c>
      <x:c r="E5" s="22" t="n">
        <x:f>IF(OR(C5="",D5=""),"",D5-C5)</x:f>
        <x:v>3.1517552268518543</x:v>
      </x:c>
      <x:c r="F5" s="20" t="n">
        <x:f>IFERROR(E5/C5,0)</x:f>
        <x:v>0.7303044569993727</x:v>
      </x:c>
      <x:c r="G5" s="20" t="n">
        <x:f>IFERROR(E5/D5,0)</x:f>
        <x:v>0.4220670264387104</x:v>
      </x:c>
      <x:c r="H5" t="str">
        <x:f>IF(E5="","",IF(E5&gt;0,"Profitable",IF(E5&lt;0,"Loss-Making","Break-even")))</x:f>
        <x:v>Profitable</x:v>
      </x:c>
    </x:row>
    <x:row r="6">
      <x:c r="A6" t="str">
        <x:v>SKU-005</x:v>
      </x:c>
      <x:c r="B6" t="str">
        <x:v>Product 005</x:v>
      </x:c>
      <x:c r="C6" s="22" t="n">
        <x:v>0.9874845</x:v>
      </x:c>
      <x:c r="D6" s="22" t="n">
        <x:v>1.3504061538461567</x:v>
      </x:c>
      <x:c r="E6" s="22" t="n">
        <x:f>IF(OR(C6="",D6=""),"",D6-C6)</x:f>
        <x:v>0.3629216538461567</x:v>
      </x:c>
      <x:c r="F6" s="20" t="n">
        <x:f>IFERROR(E6/C6,0)</x:f>
        <x:v>0.36752136752137043</x:v>
      </x:c>
      <x:c r="G6" s="20" t="n">
        <x:f>IFERROR(E6/D6,0)</x:f>
        <x:v>0.26875000000000154</x:v>
      </x:c>
      <x:c r="H6" t="str">
        <x:f>IF(E6="","",IF(E6&gt;0,"Profitable",IF(E6&lt;0,"Loss-Making","Break-even")))</x:f>
        <x:v>Profitable</x:v>
      </x:c>
    </x:row>
    <x:row r="7">
      <x:c r="A7" t="str">
        <x:v>SKU-006</x:v>
      </x:c>
      <x:c r="B7" t="str">
        <x:v>Product 006</x:v>
      </x:c>
      <x:c r="C7" s="22" t="n">
        <x:v>0.9874845</x:v>
      </x:c>
      <x:c r="D7" s="22" t="n">
        <x:v>1.3504061538461567</x:v>
      </x:c>
      <x:c r="E7" s="22" t="n">
        <x:f>IF(OR(C7="",D7=""),"",D7-C7)</x:f>
        <x:v>0.3629216538461567</x:v>
      </x:c>
      <x:c r="F7" s="20" t="n">
        <x:f>IFERROR(E7/C7,0)</x:f>
        <x:v>0.36752136752137043</x:v>
      </x:c>
      <x:c r="G7" s="20" t="n">
        <x:f>IFERROR(E7/D7,0)</x:f>
        <x:v>0.26875000000000154</x:v>
      </x:c>
      <x:c r="H7" t="str">
        <x:f>IF(E7="","",IF(E7&gt;0,"Profitable",IF(E7&lt;0,"Loss-Making","Break-even")))</x:f>
        <x:v>Profitable</x:v>
      </x:c>
    </x:row>
    <x:row r="8">
      <x:c r="A8" t="str">
        <x:v>SKU-007</x:v>
      </x:c>
      <x:c r="B8" t="str">
        <x:v>Product 007</x:v>
      </x:c>
      <x:c r="C8" s="22" t="n">
        <x:v>0.9874845</x:v>
      </x:c>
      <x:c r="D8" s="22" t="n">
        <x:v>1.3504061538461567</x:v>
      </x:c>
      <x:c r="E8" s="22" t="n">
        <x:f>IF(OR(C8="",D8=""),"",D8-C8)</x:f>
        <x:v>0.3629216538461567</x:v>
      </x:c>
      <x:c r="F8" s="20" t="n">
        <x:f>IFERROR(E8/C8,0)</x:f>
        <x:v>0.36752136752137043</x:v>
      </x:c>
      <x:c r="G8" s="20" t="n">
        <x:f>IFERROR(E8/D8,0)</x:f>
        <x:v>0.26875000000000154</x:v>
      </x:c>
      <x:c r="H8" t="str">
        <x:f>IF(E8="","",IF(E8&gt;0,"Profitable",IF(E8&lt;0,"Loss-Making","Break-even")))</x:f>
        <x:v>Profitable</x:v>
      </x:c>
    </x:row>
    <x:row r="9">
      <x:c r="A9" t="str">
        <x:v>SKU-008</x:v>
      </x:c>
      <x:c r="B9" t="str">
        <x:v>Product 008</x:v>
      </x:c>
      <x:c r="C9" s="22" t="n">
        <x:v>0.9874845</x:v>
      </x:c>
      <x:c r="D9" s="22" t="n">
        <x:v>1.3504061538461567</x:v>
      </x:c>
      <x:c r="E9" s="22" t="n">
        <x:f>IF(OR(C9="",D9=""),"",D9-C9)</x:f>
        <x:v>0.3629216538461567</x:v>
      </x:c>
      <x:c r="F9" s="20" t="n">
        <x:f>IFERROR(E9/C9,0)</x:f>
        <x:v>0.36752136752137043</x:v>
      </x:c>
      <x:c r="G9" s="20" t="n">
        <x:f>IFERROR(E9/D9,0)</x:f>
        <x:v>0.26875000000000154</x:v>
      </x:c>
      <x:c r="H9" t="str">
        <x:f>IF(E9="","",IF(E9&gt;0,"Profitable",IF(E9&lt;0,"Loss-Making","Break-even")))</x:f>
        <x:v>Profitable</x:v>
      </x:c>
    </x:row>
    <x:row r="10">
      <x:c r="A10" t="str">
        <x:v>SKU-009</x:v>
      </x:c>
      <x:c r="B10" t="str">
        <x:v>Product 009</x:v>
      </x:c>
      <x:c r="C10" s="22" t="n">
        <x:v>0.9874845</x:v>
      </x:c>
      <x:c r="D10" s="22" t="n">
        <x:v>1.3504061538461567</x:v>
      </x:c>
      <x:c r="E10" s="22" t="n">
        <x:f>IF(OR(C10="",D10=""),"",D10-C10)</x:f>
        <x:v>0.3629216538461567</x:v>
      </x:c>
      <x:c r="F10" s="20" t="n">
        <x:f>IFERROR(E10/C10,0)</x:f>
        <x:v>0.36752136752137043</x:v>
      </x:c>
      <x:c r="G10" s="20" t="n">
        <x:f>IFERROR(E10/D10,0)</x:f>
        <x:v>0.26875000000000154</x:v>
      </x:c>
      <x:c r="H10" t="str">
        <x:f>IF(E10="","",IF(E10&gt;0,"Profitable",IF(E10&lt;0,"Loss-Making","Break-even")))</x:f>
        <x:v>Profitable</x:v>
      </x:c>
    </x:row>
    <x:row r="11">
      <x:c r="A11" t="str">
        <x:v>SKU-010</x:v>
      </x:c>
      <x:c r="B11" t="str">
        <x:v>Product 010</x:v>
      </x:c>
      <x:c r="C11" s="22" t="n">
        <x:v>0.9874845</x:v>
      </x:c>
      <x:c r="D11" s="22" t="n">
        <x:v>1.3504061538461567</x:v>
      </x:c>
      <x:c r="E11" s="22" t="n">
        <x:f>IF(OR(C11="",D11=""),"",D11-C11)</x:f>
        <x:v>0.3629216538461567</x:v>
      </x:c>
      <x:c r="F11" s="20" t="n">
        <x:f>IFERROR(E11/C11,0)</x:f>
        <x:v>0.36752136752137043</x:v>
      </x:c>
      <x:c r="G11" s="20" t="n">
        <x:f>IFERROR(E11/D11,0)</x:f>
        <x:v>0.26875000000000154</x:v>
      </x:c>
      <x:c r="H11" t="str">
        <x:f>IF(E11="","",IF(E11&gt;0,"Profitable",IF(E11&lt;0,"Loss-Making","Break-even")))</x:f>
        <x:v>Profitable</x:v>
      </x:c>
    </x:row>
    <x:row r="12">
      <x:c r="A12" t="str">
        <x:v>SKU-011</x:v>
      </x:c>
      <x:c r="B12" t="str">
        <x:v>Product 011</x:v>
      </x:c>
      <x:c r="C12" s="22" t="n">
        <x:v>0.7680435</x:v>
      </x:c>
      <x:c r="D12" s="22"/>
      <x:c r="E12" s="22" t="str">
        <x:f>IF(OR(C12="",D12=""),"",D12-C12)</x:f>
      </x:c>
      <x:c r="F12" s="20" t="n">
        <x:f>IFERROR(E12/C12,0)</x:f>
        <x:v>0</x:v>
      </x:c>
      <x:c r="G12" s="20" t="n">
        <x:f>IFERROR(E12/D12,0)</x:f>
        <x:v>0</x:v>
      </x:c>
      <x:c r="H12" t="str">
        <x:f>IF(E12="","",IF(E12&gt;0,"Profitable",IF(E12&lt;0,"Loss-Making","Break-even")))</x:f>
      </x:c>
    </x:row>
    <x:row r="13">
      <x:c r="A13" t="str">
        <x:v>SKU-012</x:v>
      </x:c>
      <x:c r="B13" t="str">
        <x:v>Product 012</x:v>
      </x:c>
      <x:c r="C13" s="22" t="n">
        <x:v>0.0073146999999999995</x:v>
      </x:c>
      <x:c r="D13" s="22"/>
      <x:c r="E13" s="22" t="str">
        <x:f>IF(OR(C13="",D13=""),"",D13-C13)</x:f>
      </x:c>
      <x:c r="F13" s="20" t="n">
        <x:f>IFERROR(E13/C13,0)</x:f>
        <x:v>0</x:v>
      </x:c>
      <x:c r="G13" s="20" t="n">
        <x:f>IFERROR(E13/D13,0)</x:f>
        <x:v>0</x:v>
      </x:c>
      <x:c r="H13" t="str">
        <x:f>IF(E13="","",IF(E13&gt;0,"Profitable",IF(E13&lt;0,"Loss-Making","Break-even")))</x:f>
      </x:c>
    </x:row>
    <x:row r="14">
      <x:c r="A14" t="str">
        <x:v>SKU-013</x:v>
      </x:c>
      <x:c r="B14" t="str">
        <x:v>Product 013</x:v>
      </x:c>
      <x:c r="C14" s="22" t="n">
        <x:v>0.44573953125</x:v>
      </x:c>
      <x:c r="D14" s="22" t="n">
        <x:v>0.39660658975694435</x:v>
      </x:c>
      <x:c r="E14" s="22" t="n">
        <x:f>IF(OR(C14="",D14=""),"",D14-C14)</x:f>
        <x:v>-0.04913294149305564</x:v>
      </x:c>
      <x:c r="F14" s="20" t="n">
        <x:f>IFERROR(E14/C14,0)</x:f>
        <x:v>-0.11022792022792041</x:v>
      </x:c>
      <x:c r="G14" s="20" t="n">
        <x:f>IFERROR(E14/D14,0)</x:f>
        <x:v>-0.12388332105920423</x:v>
      </x:c>
      <x:c r="H14" t="str">
        <x:f>IF(E14="","",IF(E14&gt;0,"Profitable",IF(E14&lt;0,"Loss-Making","Break-even")))</x:f>
        <x:v>Loss-Making</x:v>
      </x:c>
    </x:row>
    <x:row r="15">
      <x:c r="A15" t="str">
        <x:v>SKU-014</x:v>
      </x:c>
      <x:c r="B15" t="str">
        <x:v>Product 014</x:v>
      </x:c>
      <x:c r="C15" s="22" t="n">
        <x:v>0.44573953125</x:v>
      </x:c>
      <x:c r="D15" s="22" t="n">
        <x:v>0.39660658975694435</x:v>
      </x:c>
      <x:c r="E15" s="22" t="n">
        <x:f>IF(OR(C15="",D15=""),"",D15-C15)</x:f>
        <x:v>-0.04913294149305564</x:v>
      </x:c>
      <x:c r="F15" s="20" t="n">
        <x:f>IFERROR(E15/C15,0)</x:f>
        <x:v>-0.11022792022792041</x:v>
      </x:c>
      <x:c r="G15" s="20" t="n">
        <x:f>IFERROR(E15/D15,0)</x:f>
        <x:v>-0.12388332105920423</x:v>
      </x:c>
      <x:c r="H15" t="str">
        <x:f>IF(E15="","",IF(E15&gt;0,"Profitable",IF(E15&lt;0,"Loss-Making","Break-even")))</x:f>
        <x:v>Loss-Making</x:v>
      </x:c>
    </x:row>
    <x:row r="16">
      <x:c r="A16" t="str">
        <x:v>SKU-015</x:v>
      </x:c>
      <x:c r="B16" t="str">
        <x:v>Product 015</x:v>
      </x:c>
      <x:c r="C16" s="22" t="n">
        <x:v>0.44573953125</x:v>
      </x:c>
      <x:c r="D16" s="22" t="n">
        <x:v>0.39660658975694435</x:v>
      </x:c>
      <x:c r="E16" s="22" t="n">
        <x:f>IF(OR(C16="",D16=""),"",D16-C16)</x:f>
        <x:v>-0.04913294149305564</x:v>
      </x:c>
      <x:c r="F16" s="20" t="n">
        <x:f>IFERROR(E16/C16,0)</x:f>
        <x:v>-0.11022792022792041</x:v>
      </x:c>
      <x:c r="G16" s="20" t="n">
        <x:f>IFERROR(E16/D16,0)</x:f>
        <x:v>-0.12388332105920423</x:v>
      </x:c>
      <x:c r="H16" t="str">
        <x:f>IF(E16="","",IF(E16&gt;0,"Profitable",IF(E16&lt;0,"Loss-Making","Break-even")))</x:f>
        <x:v>Loss-Making</x:v>
      </x:c>
    </x:row>
    <x:row r="17">
      <x:c r="A17" t="str">
        <x:v>SKU-016</x:v>
      </x:c>
      <x:c r="B17" t="str">
        <x:v>Product 016</x:v>
      </x:c>
      <x:c r="C17" s="22" t="n">
        <x:v>0.44573953125</x:v>
      </x:c>
      <x:c r="D17" s="22" t="n">
        <x:v>0.39660658975694435</x:v>
      </x:c>
      <x:c r="E17" s="22" t="n">
        <x:f>IF(OR(C17="",D17=""),"",D17-C17)</x:f>
        <x:v>-0.04913294149305564</x:v>
      </x:c>
      <x:c r="F17" s="20" t="n">
        <x:f>IFERROR(E17/C17,0)</x:f>
        <x:v>-0.11022792022792041</x:v>
      </x:c>
      <x:c r="G17" s="20" t="n">
        <x:f>IFERROR(E17/D17,0)</x:f>
        <x:v>-0.12388332105920423</x:v>
      </x:c>
      <x:c r="H17" t="str">
        <x:f>IF(E17="","",IF(E17&gt;0,"Profitable",IF(E17&lt;0,"Loss-Making","Break-even")))</x:f>
        <x:v>Loss-Making</x:v>
      </x:c>
    </x:row>
    <x:row r="18">
      <x:c r="A18" t="str">
        <x:v>SKU-017</x:v>
      </x:c>
      <x:c r="B18" t="str">
        <x:v>Product 017</x:v>
      </x:c>
      <x:c r="C18" s="22" t="n">
        <x:v>0.44573953125</x:v>
      </x:c>
      <x:c r="D18" s="22" t="n">
        <x:v>0.39660658975694435</x:v>
      </x:c>
      <x:c r="E18" s="22" t="n">
        <x:f>IF(OR(C18="",D18=""),"",D18-C18)</x:f>
        <x:v>-0.04913294149305564</x:v>
      </x:c>
      <x:c r="F18" s="20" t="n">
        <x:f>IFERROR(E18/C18,0)</x:f>
        <x:v>-0.11022792022792041</x:v>
      </x:c>
      <x:c r="G18" s="20" t="n">
        <x:f>IFERROR(E18/D18,0)</x:f>
        <x:v>-0.12388332105920423</x:v>
      </x:c>
      <x:c r="H18" t="str">
        <x:f>IF(E18="","",IF(E18&gt;0,"Profitable",IF(E18&lt;0,"Loss-Making","Break-even")))</x:f>
        <x:v>Loss-Making</x:v>
      </x:c>
    </x:row>
    <x:row r="19">
      <x:c r="A19" t="str">
        <x:v>SKU-018</x:v>
      </x:c>
      <x:c r="B19" t="str">
        <x:v>Product 018</x:v>
      </x:c>
      <x:c r="C19" s="22" t="n">
        <x:v>0.44573953125</x:v>
      </x:c>
      <x:c r="D19" s="22" t="n">
        <x:v>0.39660658975694435</x:v>
      </x:c>
      <x:c r="E19" s="22" t="n">
        <x:f>IF(OR(C19="",D19=""),"",D19-C19)</x:f>
        <x:v>-0.04913294149305564</x:v>
      </x:c>
      <x:c r="F19" s="20" t="n">
        <x:f>IFERROR(E19/C19,0)</x:f>
        <x:v>-0.11022792022792041</x:v>
      </x:c>
      <x:c r="G19" s="20" t="n">
        <x:f>IFERROR(E19/D19,0)</x:f>
        <x:v>-0.12388332105920423</x:v>
      </x:c>
      <x:c r="H19" t="str">
        <x:f>IF(E19="","",IF(E19&gt;0,"Profitable",IF(E19&lt;0,"Loss-Making","Break-even")))</x:f>
        <x:v>Loss-Making</x:v>
      </x:c>
    </x:row>
    <x:row r="20">
      <x:c r="A20" t="str">
        <x:v>SKU-019</x:v>
      </x:c>
      <x:c r="B20" t="str">
        <x:v>Product 019</x:v>
      </x:c>
      <x:c r="C20" s="22" t="n">
        <x:v>1.0533168</x:v>
      </x:c>
      <x:c r="D20" s="22" t="n">
        <x:v>1.6458074999999999</x:v>
      </x:c>
      <x:c r="E20" s="22" t="n">
        <x:f>IF(OR(C20="",D20=""),"",D20-C20)</x:f>
        <x:v>0.5924906999999999</x:v>
      </x:c>
      <x:c r="F20" s="20" t="n">
        <x:f>IFERROR(E20/C20,0)</x:f>
        <x:v>0.5625</x:v>
      </x:c>
      <x:c r="G20" s="20" t="n">
        <x:f>IFERROR(E20/D20,0)</x:f>
        <x:v>0.36</x:v>
      </x:c>
      <x:c r="H20" t="str">
        <x:f>IF(E20="","",IF(E20&gt;0,"Profitable",IF(E20&lt;0,"Loss-Making","Break-even")))</x:f>
        <x:v>Profitable</x:v>
      </x:c>
    </x:row>
    <x:row r="21">
      <x:c r="A21" t="str">
        <x:v>SKU-020</x:v>
      </x:c>
      <x:c r="B21" t="str">
        <x:v>Product 020</x:v>
      </x:c>
      <x:c r="C21" s="22" t="n">
        <x:v>1.0533168</x:v>
      </x:c>
      <x:c r="D21" s="22" t="n">
        <x:v>1.6458074999999999</x:v>
      </x:c>
      <x:c r="E21" s="22" t="n">
        <x:f>IF(OR(C21="",D21=""),"",D21-C21)</x:f>
        <x:v>0.5924906999999999</x:v>
      </x:c>
      <x:c r="F21" s="20" t="n">
        <x:f>IFERROR(E21/C21,0)</x:f>
        <x:v>0.5625</x:v>
      </x:c>
      <x:c r="G21" s="20" t="n">
        <x:f>IFERROR(E21/D21,0)</x:f>
        <x:v>0.36</x:v>
      </x:c>
      <x:c r="H21" t="str">
        <x:f>IF(E21="","",IF(E21&gt;0,"Profitable",IF(E21&lt;0,"Loss-Making","Break-even")))</x:f>
        <x:v>Profitable</x:v>
      </x:c>
    </x:row>
    <x:row r="22">
      <x:c r="A22" t="str">
        <x:v>SKU-021</x:v>
      </x:c>
      <x:c r="B22" t="str">
        <x:v>Product 021</x:v>
      </x:c>
      <x:c r="C22" s="22" t="n">
        <x:v>1.0533168</x:v>
      </x:c>
      <x:c r="D22" s="22" t="n">
        <x:v>1.6458074999999999</x:v>
      </x:c>
      <x:c r="E22" s="22" t="n">
        <x:f>IF(OR(C22="",D22=""),"",D22-C22)</x:f>
        <x:v>0.5924906999999999</x:v>
      </x:c>
      <x:c r="F22" s="20" t="n">
        <x:f>IFERROR(E22/C22,0)</x:f>
        <x:v>0.5625</x:v>
      </x:c>
      <x:c r="G22" s="20" t="n">
        <x:f>IFERROR(E22/D22,0)</x:f>
        <x:v>0.36</x:v>
      </x:c>
      <x:c r="H22" t="str">
        <x:f>IF(E22="","",IF(E22&gt;0,"Profitable",IF(E22&lt;0,"Loss-Making","Break-even")))</x:f>
        <x:v>Profitable</x:v>
      </x:c>
    </x:row>
    <x:row r="23">
      <x:c r="A23" t="str">
        <x:v>SKU-022</x:v>
      </x:c>
      <x:c r="B23" t="str">
        <x:v>Product 022</x:v>
      </x:c>
      <x:c r="C23" s="22" t="n">
        <x:v>1.0533168</x:v>
      </x:c>
      <x:c r="D23" s="22" t="n">
        <x:v>1.6458074999999999</x:v>
      </x:c>
      <x:c r="E23" s="22" t="n">
        <x:f>IF(OR(C23="",D23=""),"",D23-C23)</x:f>
        <x:v>0.5924906999999999</x:v>
      </x:c>
      <x:c r="F23" s="20" t="n">
        <x:f>IFERROR(E23/C23,0)</x:f>
        <x:v>0.5625</x:v>
      </x:c>
      <x:c r="G23" s="20" t="n">
        <x:f>IFERROR(E23/D23,0)</x:f>
        <x:v>0.36</x:v>
      </x:c>
      <x:c r="H23" t="str">
        <x:f>IF(E23="","",IF(E23&gt;0,"Profitable",IF(E23&lt;0,"Loss-Making","Break-even")))</x:f>
        <x:v>Profitable</x:v>
      </x:c>
    </x:row>
    <x:row r="24">
      <x:c r="A24" t="str">
        <x:v>SKU-023</x:v>
      </x:c>
      <x:c r="B24" t="str">
        <x:v>Product 023</x:v>
      </x:c>
      <x:c r="C24" s="22" t="n">
        <x:v>1.4044223999999998</x:v>
      </x:c>
      <x:c r="D24" s="22" t="n">
        <x:v>2.1326336073717935</x:v>
      </x:c>
      <x:c r="E24" s="22" t="n">
        <x:f>IF(OR(C24="",D24=""),"",D24-C24)</x:f>
        <x:v>0.7282112073717937</x:v>
      </x:c>
      <x:c r="F24" s="20" t="n">
        <x:f>IFERROR(E24/C24,0)</x:f>
        <x:v>0.5185129540598282</x:v>
      </x:c>
      <x:c r="G24" s="20" t="n">
        <x:f>IFERROR(E24/D24,0)</x:f>
        <x:v>0.3414610014840869</x:v>
      </x:c>
      <x:c r="H24" t="str">
        <x:f>IF(E24="","",IF(E24&gt;0,"Profitable",IF(E24&lt;0,"Loss-Making","Break-even")))</x:f>
        <x:v>Profitable</x:v>
      </x:c>
    </x:row>
    <x:row r="25">
      <x:c r="A25" t="str">
        <x:v>SKU-024</x:v>
      </x:c>
      <x:c r="B25" t="str">
        <x:v>Product 024</x:v>
      </x:c>
      <x:c r="C25" s="22" t="n">
        <x:v>1.2069254999999999</x:v>
      </x:c>
      <x:c r="D25" s="22" t="n">
        <x:v>1.8077758571428562</x:v>
      </x:c>
      <x:c r="E25" s="22" t="n">
        <x:f>IF(OR(C25="",D25=""),"",D25-C25)</x:f>
        <x:v>0.6008503571428563</x:v>
      </x:c>
      <x:c r="F25" s="20" t="n">
        <x:f>IFERROR(E25/C25,0)</x:f>
        <x:v>0.4978354978354972</x:v>
      </x:c>
      <x:c r="G25" s="20" t="n">
        <x:f>IFERROR(E25/D25,0)</x:f>
        <x:v>0.3323699421965315</x:v>
      </x:c>
      <x:c r="H25" t="str">
        <x:f>IF(E25="","",IF(E25&gt;0,"Profitable",IF(E25&lt;0,"Loss-Making","Break-even")))</x:f>
        <x:v>Profitable</x:v>
      </x:c>
    </x:row>
    <x:row r="26">
      <x:c r="A26" t="str">
        <x:v>SKU-025</x:v>
      </x:c>
      <x:c r="B26" t="str">
        <x:v>Product 025</x:v>
      </x:c>
      <x:c r="C26" s="22" t="n">
        <x:v>1.2069254999999999</x:v>
      </x:c>
      <x:c r="D26" s="22" t="n">
        <x:v>1.8077758571428562</x:v>
      </x:c>
      <x:c r="E26" s="22" t="n">
        <x:f>IF(OR(C26="",D26=""),"",D26-C26)</x:f>
        <x:v>0.6008503571428563</x:v>
      </x:c>
      <x:c r="F26" s="20" t="n">
        <x:f>IFERROR(E26/C26,0)</x:f>
        <x:v>0.4978354978354972</x:v>
      </x:c>
      <x:c r="G26" s="20" t="n">
        <x:f>IFERROR(E26/D26,0)</x:f>
        <x:v>0.3323699421965315</x:v>
      </x:c>
      <x:c r="H26" t="str">
        <x:f>IF(E26="","",IF(E26&gt;0,"Profitable",IF(E26&lt;0,"Loss-Making","Break-even")))</x:f>
        <x:v>Profitable</x:v>
      </x:c>
    </x:row>
    <x:row r="27">
      <x:c r="A27" t="str">
        <x:v>SKU-026</x:v>
      </x:c>
      <x:c r="B27" t="str">
        <x:v>Product 026</x:v>
      </x:c>
      <x:c r="C27" s="22" t="n">
        <x:v>1.2069254999999999</x:v>
      </x:c>
      <x:c r="D27" s="22" t="n">
        <x:v>1.7695947307692312</x:v>
      </x:c>
      <x:c r="E27" s="22" t="n">
        <x:f>IF(OR(C27="",D27=""),"",D27-C27)</x:f>
        <x:v>0.5626692307692314</x:v>
      </x:c>
      <x:c r="F27" s="20" t="n">
        <x:f>IFERROR(E27/C27,0)</x:f>
        <x:v>0.46620046620046673</x:v>
      </x:c>
      <x:c r="G27" s="20" t="n">
        <x:f>IFERROR(E27/D27,0)</x:f>
        <x:v>0.317965023847377</x:v>
      </x:c>
      <x:c r="H27" t="str">
        <x:f>IF(E27="","",IF(E27&gt;0,"Profitable",IF(E27&lt;0,"Loss-Making","Break-even")))</x:f>
        <x:v>Profitable</x:v>
      </x:c>
    </x:row>
    <x:row r="28">
      <x:c r="A28" t="str">
        <x:v>SKU-027</x:v>
      </x:c>
      <x:c r="B28" t="str">
        <x:v>Product 027</x:v>
      </x:c>
      <x:c r="C28" s="22" t="n">
        <x:v>1.2069254999999999</x:v>
      </x:c>
      <x:c r="D28" s="22" t="n">
        <x:v>1.8058165624999998</x:v>
      </x:c>
      <x:c r="E28" s="22" t="n">
        <x:f>IF(OR(C28="",D28=""),"",D28-C28)</x:f>
        <x:v>0.5988910624999999</x:v>
      </x:c>
      <x:c r="F28" s="20" t="n">
        <x:f>IFERROR(E28/C28,0)</x:f>
        <x:v>0.49621212121212116</x:v>
      </x:c>
      <x:c r="G28" s="20" t="n">
        <x:f>IFERROR(E28/D28,0)</x:f>
        <x:v>0.33164556962025316</x:v>
      </x:c>
      <x:c r="H28" t="str">
        <x:f>IF(E28="","",IF(E28&gt;0,"Profitable",IF(E28&lt;0,"Loss-Making","Break-even")))</x:f>
        <x:v>Profitable</x:v>
      </x:c>
    </x:row>
    <x:row r="29">
      <x:c r="A29" t="str">
        <x:v>SKU-028</x:v>
      </x:c>
      <x:c r="B29" t="str">
        <x:v>Product 028</x:v>
      </x:c>
      <x:c r="C29" s="22" t="n">
        <x:v>1.2069254999999999</x:v>
      </x:c>
      <x:c r="D29" s="22" t="n">
        <x:v>1.8058165624999998</x:v>
      </x:c>
      <x:c r="E29" s="22" t="n">
        <x:f>IF(OR(C29="",D29=""),"",D29-C29)</x:f>
        <x:v>0.5988910624999999</x:v>
      </x:c>
      <x:c r="F29" s="20" t="n">
        <x:f>IFERROR(E29/C29,0)</x:f>
        <x:v>0.49621212121212116</x:v>
      </x:c>
      <x:c r="G29" s="20" t="n">
        <x:f>IFERROR(E29/D29,0)</x:f>
        <x:v>0.33164556962025316</x:v>
      </x:c>
      <x:c r="H29" t="str">
        <x:f>IF(E29="","",IF(E29&gt;0,"Profitable",IF(E29&lt;0,"Loss-Making","Break-even")))</x:f>
        <x:v>Profitable</x:v>
      </x:c>
    </x:row>
    <x:row r="30">
      <x:c r="A30" t="str">
        <x:v>SKU-029</x:v>
      </x:c>
      <x:c r="B30" t="str">
        <x:v>Product 029</x:v>
      </x:c>
      <x:c r="C30" s="22" t="n">
        <x:v>1.2069254999999999</x:v>
      </x:c>
      <x:c r="D30" s="22" t="n">
        <x:v>1.6532237930555562</x:v>
      </x:c>
      <x:c r="E30" s="22" t="n">
        <x:f>IF(OR(C30="",D30=""),"",D30-C30)</x:f>
        <x:v>0.44629829305555635</x:v>
      </x:c>
      <x:c r="F30" s="20" t="n">
        <x:f>IFERROR(E30/C30,0)</x:f>
        <x:v>0.3697811447811455</x:v>
      </x:c>
      <x:c r="G30" s="20" t="n">
        <x:f>IFERROR(E30/D30,0)</x:f>
        <x:v>0.2699563694463225</x:v>
      </x:c>
      <x:c r="H30" t="str">
        <x:f>IF(E30="","",IF(E30&gt;0,"Profitable",IF(E30&lt;0,"Loss-Making","Break-even")))</x:f>
        <x:v>Profitable</x:v>
      </x:c>
    </x:row>
    <x:row r="31">
      <x:c r="A31" t="str">
        <x:v>SKU-030</x:v>
      </x:c>
      <x:c r="B31" t="str">
        <x:v>Product 030</x:v>
      </x:c>
      <x:c r="C31" s="22" t="n">
        <x:v>1.2069254999999999</x:v>
      </x:c>
      <x:c r="D31" s="22" t="n">
        <x:v>1.7695947307692312</x:v>
      </x:c>
      <x:c r="E31" s="22" t="n">
        <x:f>IF(OR(C31="",D31=""),"",D31-C31)</x:f>
        <x:v>0.5626692307692314</x:v>
      </x:c>
      <x:c r="F31" s="20" t="n">
        <x:f>IFERROR(E31/C31,0)</x:f>
        <x:v>0.46620046620046673</x:v>
      </x:c>
      <x:c r="G31" s="20" t="n">
        <x:f>IFERROR(E31/D31,0)</x:f>
        <x:v>0.317965023847377</x:v>
      </x:c>
      <x:c r="H31" t="str">
        <x:f>IF(E31="","",IF(E31&gt;0,"Profitable",IF(E31&lt;0,"Loss-Making","Break-even")))</x:f>
        <x:v>Profitable</x:v>
      </x:c>
    </x:row>
    <x:row r="32">
      <x:c r="A32" t="str">
        <x:v>SKU-031</x:v>
      </x:c>
      <x:c r="B32" t="str">
        <x:v>Product 031</x:v>
      </x:c>
      <x:c r="C32" s="22" t="n">
        <x:v>1.4044223999999998</x:v>
      </x:c>
      <x:c r="D32" s="22" t="n">
        <x:v>2.3141050909090883</x:v>
      </x:c>
      <x:c r="E32" s="22" t="n">
        <x:f>IF(OR(C32="",D32=""),"",D32-C32)</x:f>
        <x:v>0.9096826909090885</x:v>
      </x:c>
      <x:c r="F32" s="20" t="n">
        <x:f>IFERROR(E32/C32,0)</x:f>
        <x:v>0.647727272727271</x:v>
      </x:c>
      <x:c r="G32" s="20" t="n">
        <x:f>IFERROR(E32/D32,0)</x:f>
        <x:v>0.39310344827586147</x:v>
      </x:c>
      <x:c r="H32" t="str">
        <x:f>IF(E32="","",IF(E32&gt;0,"Profitable",IF(E32&lt;0,"Loss-Making","Break-even")))</x:f>
        <x:v>Profitable</x:v>
      </x:c>
    </x:row>
    <x:row r="33">
      <x:c r="A33" t="str">
        <x:v>SKU-032</x:v>
      </x:c>
      <x:c r="B33" t="str">
        <x:v>Product 032</x:v>
      </x:c>
      <x:c r="C33" s="22" t="n">
        <x:v>1.4044223999999998</x:v>
      </x:c>
      <x:c r="D33" s="22" t="n">
        <x:v>2.30745536363636</x:v>
      </x:c>
      <x:c r="E33" s="22" t="n">
        <x:f>IF(OR(C33="",D33=""),"",D33-C33)</x:f>
        <x:v>0.9030329636363603</x:v>
      </x:c>
      <x:c r="F33" s="20" t="n">
        <x:f>IFERROR(E33/C33,0)</x:f>
        <x:v>0.642992424242422</x:v>
      </x:c>
      <x:c r="G33" s="20" t="n">
        <x:f>IFERROR(E33/D33,0)</x:f>
        <x:v>0.3913544668587888</x:v>
      </x:c>
      <x:c r="H33" t="str">
        <x:f>IF(E33="","",IF(E33&gt;0,"Profitable",IF(E33&lt;0,"Loss-Making","Break-even")))</x:f>
        <x:v>Profitable</x:v>
      </x:c>
    </x:row>
    <x:row r="34">
      <x:c r="A34" t="str">
        <x:v>SKU-033</x:v>
      </x:c>
      <x:c r="B34" t="str">
        <x:v>Product 033</x:v>
      </x:c>
      <x:c r="C34" s="22" t="n">
        <x:v>1.4044223999999998</x:v>
      </x:c>
      <x:c r="D34" s="22" t="n">
        <x:v>2.340704</x:v>
      </x:c>
      <x:c r="E34" s="22" t="n">
        <x:f>IF(OR(C34="",D34=""),"",D34-C34)</x:f>
        <x:v>0.9362816000000003</x:v>
      </x:c>
      <x:c r="F34" s="20" t="n">
        <x:f>IFERROR(E34/C34,0)</x:f>
        <x:v>0.666666666666667</x:v>
      </x:c>
      <x:c r="G34" s="20" t="n">
        <x:f>IFERROR(E34/D34,0)</x:f>
        <x:v>0.4000000000000001</x:v>
      </x:c>
      <x:c r="H34" t="str">
        <x:f>IF(E34="","",IF(E34&gt;0,"Profitable",IF(E34&lt;0,"Loss-Making","Break-even")))</x:f>
        <x:v>Profitable</x:v>
      </x:c>
    </x:row>
    <x:row r="35">
      <x:c r="A35" t="str">
        <x:v>SKU-034</x:v>
      </x:c>
      <x:c r="B35" t="str">
        <x:v>Product 034</x:v>
      </x:c>
      <x:c r="C35" s="22" t="n">
        <x:v>1.4044223999999998</x:v>
      </x:c>
      <x:c r="D35" s="22" t="n">
        <x:v>2.30745536363636</x:v>
      </x:c>
      <x:c r="E35" s="22" t="n">
        <x:f>IF(OR(C35="",D35=""),"",D35-C35)</x:f>
        <x:v>0.9030329636363603</x:v>
      </x:c>
      <x:c r="F35" s="20" t="n">
        <x:f>IFERROR(E35/C35,0)</x:f>
        <x:v>0.642992424242422</x:v>
      </x:c>
      <x:c r="G35" s="20" t="n">
        <x:f>IFERROR(E35/D35,0)</x:f>
        <x:v>0.3913544668587888</x:v>
      </x:c>
      <x:c r="H35" t="str">
        <x:f>IF(E35="","",IF(E35&gt;0,"Profitable",IF(E35&lt;0,"Loss-Making","Break-even")))</x:f>
        <x:v>Profitable</x:v>
      </x:c>
    </x:row>
    <x:row r="36">
      <x:c r="A36" t="str">
        <x:v>SKU-035</x:v>
      </x:c>
      <x:c r="B36" t="str">
        <x:v>Product 035</x:v>
      </x:c>
      <x:c r="C36" s="22" t="n">
        <x:v>1.4044223999999998</x:v>
      </x:c>
      <x:c r="D36" s="22" t="n">
        <x:v>2.101452354166669</x:v>
      </x:c>
      <x:c r="E36" s="22" t="n">
        <x:f>IF(OR(C36="",D36=""),"",D36-C36)</x:f>
        <x:v>0.6970299541666691</x:v>
      </x:c>
      <x:c r="F36" s="20" t="n">
        <x:f>IFERROR(E36/C36,0)</x:f>
        <x:v>0.49631076388889067</x:v>
      </x:c>
      <x:c r="G36" s="20" t="n">
        <x:f>IFERROR(E36/D36,0)</x:f>
        <x:v>0.3316896301667883</x:v>
      </x:c>
      <x:c r="H36" t="str">
        <x:f>IF(E36="","",IF(E36&gt;0,"Profitable",IF(E36&lt;0,"Loss-Making","Break-even")))</x:f>
        <x:v>Profitable</x:v>
      </x:c>
    </x:row>
    <x:row r="37">
      <x:c r="A37" t="str">
        <x:v>SKU-036</x:v>
      </x:c>
      <x:c r="B37" t="str">
        <x:v>Product 036</x:v>
      </x:c>
      <x:c r="C37" s="22" t="n">
        <x:v>1.4044223999999998</x:v>
      </x:c>
      <x:c r="D37" s="22" t="n">
        <x:v>2.3333893</x:v>
      </x:c>
      <x:c r="E37" s="22" t="n">
        <x:f>IF(OR(C37="",D37=""),"",D37-C37)</x:f>
        <x:v>0.9289669</x:v>
      </x:c>
      <x:c r="F37" s="20" t="n">
        <x:f>IFERROR(E37/C37,0)</x:f>
        <x:v>0.6614583333333335</x:v>
      </x:c>
      <x:c r="G37" s="20" t="n">
        <x:f>IFERROR(E37/D37,0)</x:f>
        <x:v>0.3981191222570533</x:v>
      </x:c>
      <x:c r="H37" t="str">
        <x:f>IF(E37="","",IF(E37&gt;0,"Profitable",IF(E37&lt;0,"Loss-Making","Break-even")))</x:f>
        <x:v>Profitable</x:v>
      </x:c>
    </x:row>
    <x:row r="38">
      <x:c r="A38" t="str">
        <x:v>SKU-037</x:v>
      </x:c>
      <x:c r="B38" t="str">
        <x:v>Product 037</x:v>
      </x:c>
      <x:c r="C38" s="22" t="n">
        <x:v>1.4044223999999998</x:v>
      </x:c>
      <x:c r="D38" s="22" t="n">
        <x:v>2.3141050909090883</x:v>
      </x:c>
      <x:c r="E38" s="22" t="n">
        <x:f>IF(OR(C38="",D38=""),"",D38-C38)</x:f>
        <x:v>0.9096826909090885</x:v>
      </x:c>
      <x:c r="F38" s="20" t="n">
        <x:f>IFERROR(E38/C38,0)</x:f>
        <x:v>0.647727272727271</x:v>
      </x:c>
      <x:c r="G38" s="20" t="n">
        <x:f>IFERROR(E38/D38,0)</x:f>
        <x:v>0.39310344827586147</x:v>
      </x:c>
      <x:c r="H38" t="str">
        <x:f>IF(E38="","",IF(E38&gt;0,"Profitable",IF(E38&lt;0,"Loss-Making","Break-even")))</x:f>
        <x:v>Profitable</x:v>
      </x:c>
    </x:row>
    <x:row r="39">
      <x:c r="A39" t="str">
        <x:v>SKU-038</x:v>
      </x:c>
      <x:c r="B39" t="str">
        <x:v>Product 038</x:v>
      </x:c>
      <x:c r="C39" s="22" t="n">
        <x:v>1.0533168</x:v>
      </x:c>
      <x:c r="D39" s="22" t="n">
        <x:v>1.6458074999999999</x:v>
      </x:c>
      <x:c r="E39" s="22" t="n">
        <x:f>IF(OR(C39="",D39=""),"",D39-C39)</x:f>
        <x:v>0.5924906999999999</x:v>
      </x:c>
      <x:c r="F39" s="20" t="n">
        <x:f>IFERROR(E39/C39,0)</x:f>
        <x:v>0.5625</x:v>
      </x:c>
      <x:c r="G39" s="20" t="n">
        <x:f>IFERROR(E39/D39,0)</x:f>
        <x:v>0.36</x:v>
      </x:c>
      <x:c r="H39" t="str">
        <x:f>IF(E39="","",IF(E39&gt;0,"Profitable",IF(E39&lt;0,"Loss-Making","Break-even")))</x:f>
        <x:v>Profitable</x:v>
      </x:c>
    </x:row>
    <x:row r="40">
      <x:c r="A40" t="str">
        <x:v>SKU-039</x:v>
      </x:c>
      <x:c r="B40" t="str">
        <x:v>Product 039</x:v>
      </x:c>
      <x:c r="C40" s="22" t="n">
        <x:v>1.0533168</x:v>
      </x:c>
      <x:c r="D40" s="22" t="n">
        <x:v>1.6458074999999999</x:v>
      </x:c>
      <x:c r="E40" s="22" t="n">
        <x:f>IF(OR(C40="",D40=""),"",D40-C40)</x:f>
        <x:v>0.5924906999999999</x:v>
      </x:c>
      <x:c r="F40" s="20" t="n">
        <x:f>IFERROR(E40/C40,0)</x:f>
        <x:v>0.5625</x:v>
      </x:c>
      <x:c r="G40" s="20" t="n">
        <x:f>IFERROR(E40/D40,0)</x:f>
        <x:v>0.36</x:v>
      </x:c>
      <x:c r="H40" t="str">
        <x:f>IF(E40="","",IF(E40&gt;0,"Profitable",IF(E40&lt;0,"Loss-Making","Break-even")))</x:f>
        <x:v>Profitable</x:v>
      </x:c>
    </x:row>
    <x:row r="41">
      <x:c r="A41" t="str">
        <x:v>SKU-040</x:v>
      </x:c>
      <x:c r="B41" t="str">
        <x:v>Product 040</x:v>
      </x:c>
      <x:c r="C41" s="22" t="n">
        <x:v>1.0533168</x:v>
      </x:c>
      <x:c r="D41" s="22" t="n">
        <x:v>1.6458074999999999</x:v>
      </x:c>
      <x:c r="E41" s="22" t="n">
        <x:f>IF(OR(C41="",D41=""),"",D41-C41)</x:f>
        <x:v>0.5924906999999999</x:v>
      </x:c>
      <x:c r="F41" s="20" t="n">
        <x:f>IFERROR(E41/C41,0)</x:f>
        <x:v>0.5625</x:v>
      </x:c>
      <x:c r="G41" s="20" t="n">
        <x:f>IFERROR(E41/D41,0)</x:f>
        <x:v>0.36</x:v>
      </x:c>
      <x:c r="H41" t="str">
        <x:f>IF(E41="","",IF(E41&gt;0,"Profitable",IF(E41&lt;0,"Loss-Making","Break-even")))</x:f>
        <x:v>Profitable</x:v>
      </x:c>
    </x:row>
    <x:row r="42">
      <x:c r="A42" t="str">
        <x:v>SKU-041</x:v>
      </x:c>
      <x:c r="B42" t="str">
        <x:v>Product 041</x:v>
      </x:c>
      <x:c r="C42" s="22" t="n">
        <x:v>1.0533168</x:v>
      </x:c>
      <x:c r="D42" s="22" t="n">
        <x:v>1.6458074999999999</x:v>
      </x:c>
      <x:c r="E42" s="22" t="n">
        <x:f>IF(OR(C42="",D42=""),"",D42-C42)</x:f>
        <x:v>0.5924906999999999</x:v>
      </x:c>
      <x:c r="F42" s="20" t="n">
        <x:f>IFERROR(E42/C42,0)</x:f>
        <x:v>0.5625</x:v>
      </x:c>
      <x:c r="G42" s="20" t="n">
        <x:f>IFERROR(E42/D42,0)</x:f>
        <x:v>0.36</x:v>
      </x:c>
      <x:c r="H42" t="str">
        <x:f>IF(E42="","",IF(E42&gt;0,"Profitable",IF(E42&lt;0,"Loss-Making","Break-even")))</x:f>
        <x:v>Profitable</x:v>
      </x:c>
    </x:row>
    <x:row r="43">
      <x:c r="A43" t="str">
        <x:v>SKU-042</x:v>
      </x:c>
      <x:c r="B43" t="str">
        <x:v>Product 042</x:v>
      </x:c>
      <x:c r="C43" s="22" t="n">
        <x:v>4.315673</x:v>
      </x:c>
      <x:c r="D43" s="22" t="n">
        <x:v>8.914790625</x:v>
      </x:c>
      <x:c r="E43" s="22" t="n">
        <x:f>IF(OR(C43="",D43=""),"",D43-C43)</x:f>
        <x:v>4.599117625</x:v>
      </x:c>
      <x:c r="F43" s="20" t="n">
        <x:f>IFERROR(E43/C43,0)</x:f>
        <x:v>1.0656779661016949</x:v>
      </x:c>
      <x:c r="G43" s="20" t="n">
        <x:f>IFERROR(E43/D43,0)</x:f>
        <x:v>0.5158974358974359</x:v>
      </x:c>
      <x:c r="H43" t="str">
        <x:f>IF(E43="","",IF(E43&gt;0,"Profitable",IF(E43&lt;0,"Loss-Making","Break-even")))</x:f>
        <x:v>Profitable</x:v>
      </x:c>
    </x:row>
    <x:row r="44">
      <x:c r="A44" t="str">
        <x:v>SKU-043</x:v>
      </x:c>
      <x:c r="B44" t="str">
        <x:v>Product 043</x:v>
      </x:c>
      <x:c r="C44" s="22" t="n">
        <x:v>4.315673</x:v>
      </x:c>
      <x:c r="D44" s="22" t="n">
        <x:v>8.882135714285683</x:v>
      </x:c>
      <x:c r="E44" s="22" t="n">
        <x:f>IF(OR(C44="",D44=""),"",D44-C44)</x:f>
        <x:v>4.566462714285683</x:v>
      </x:c>
      <x:c r="F44" s="20" t="n">
        <x:f>IFERROR(E44/C44,0)</x:f>
        <x:v>1.058111380145271</x:v>
      </x:c>
      <x:c r="G44" s="20" t="n">
        <x:f>IFERROR(E44/D44,0)</x:f>
        <x:v>0.5141176470588218</x:v>
      </x:c>
      <x:c r="H44" t="str">
        <x:f>IF(E44="","",IF(E44&gt;0,"Profitable",IF(E44&lt;0,"Loss-Making","Break-even")))</x:f>
        <x:v>Profitable</x:v>
      </x:c>
    </x:row>
    <x:row r="45">
      <x:c r="A45" t="str">
        <x:v>SKU-044</x:v>
      </x:c>
      <x:c r="B45" t="str">
        <x:v>Product 044</x:v>
      </x:c>
      <x:c r="C45" s="22" t="n">
        <x:v>4.315673</x:v>
      </x:c>
      <x:c r="D45" s="22" t="n">
        <x:v>8.882135714285683</x:v>
      </x:c>
      <x:c r="E45" s="22" t="n">
        <x:f>IF(OR(C45="",D45=""),"",D45-C45)</x:f>
        <x:v>4.566462714285683</x:v>
      </x:c>
      <x:c r="F45" s="20" t="n">
        <x:f>IFERROR(E45/C45,0)</x:f>
        <x:v>1.058111380145271</x:v>
      </x:c>
      <x:c r="G45" s="20" t="n">
        <x:f>IFERROR(E45/D45,0)</x:f>
        <x:v>0.5141176470588218</x:v>
      </x:c>
      <x:c r="H45" t="str">
        <x:f>IF(E45="","",IF(E45&gt;0,"Profitable",IF(E45&lt;0,"Loss-Making","Break-even")))</x:f>
        <x:v>Profitable</x:v>
      </x:c>
    </x:row>
    <x:row r="46">
      <x:c r="A46" t="str">
        <x:v>SKU-045</x:v>
      </x:c>
      <x:c r="B46" t="str">
        <x:v>Product 045</x:v>
      </x:c>
      <x:c r="C46" s="22" t="n">
        <x:v>4.315673</x:v>
      </x:c>
      <x:c r="D46" s="22" t="n">
        <x:v>8.914790625</x:v>
      </x:c>
      <x:c r="E46" s="22" t="n">
        <x:f>IF(OR(C46="",D46=""),"",D46-C46)</x:f>
        <x:v>4.599117625</x:v>
      </x:c>
      <x:c r="F46" s="20" t="n">
        <x:f>IFERROR(E46/C46,0)</x:f>
        <x:v>1.0656779661016949</x:v>
      </x:c>
      <x:c r="G46" s="20" t="n">
        <x:f>IFERROR(E46/D46,0)</x:f>
        <x:v>0.5158974358974359</x:v>
      </x:c>
      <x:c r="H46" t="str">
        <x:f>IF(E46="","",IF(E46&gt;0,"Profitable",IF(E46&lt;0,"Loss-Making","Break-even")))</x:f>
        <x:v>Profitable</x:v>
      </x:c>
    </x:row>
    <x:row r="47">
      <x:c r="A47" t="str">
        <x:v>SKU-046</x:v>
      </x:c>
      <x:c r="B47" t="str">
        <x:v>Product 046</x:v>
      </x:c>
      <x:c r="C47" s="22" t="n">
        <x:v>3.976555380555556</x:v>
      </x:c>
      <x:c r="D47" s="22" t="n">
        <x:v>8.602565311932052</x:v>
      </x:c>
      <x:c r="E47" s="22" t="n">
        <x:f>IF(OR(C47="",D47=""),"",D47-C47)</x:f>
        <x:v>4.626009931376496</x:v>
      </x:c>
      <x:c r="F47" s="20" t="n">
        <x:f>IFERROR(E47/C47,0)</x:f>
        <x:v>1.1633208867143217</x:v>
      </x:c>
      <x:c r="G47" s="20" t="n">
        <x:f>IFERROR(E47/D47,0)</x:f>
        <x:v>0.537747725665048</x:v>
      </x:c>
      <x:c r="H47" t="str">
        <x:f>IF(E47="","",IF(E47&gt;0,"Profitable",IF(E47&lt;0,"Loss-Making","Break-even")))</x:f>
        <x:v>Profitable</x:v>
      </x:c>
    </x:row>
    <x:row r="48">
      <x:c r="A48" t="str">
        <x:v>SKU-047</x:v>
      </x:c>
      <x:c r="B48" t="str">
        <x:v>Product 047</x:v>
      </x:c>
      <x:c r="C48" s="22" t="n">
        <x:v>3.852408666666669</x:v>
      </x:c>
      <x:c r="D48" s="22" t="n">
        <x:v>6.095583333333331</x:v>
      </x:c>
      <x:c r="E48" s="22" t="n">
        <x:f>IF(OR(C48="",D48=""),"",D48-C48)</x:f>
        <x:v>2.243174666666662</x:v>
      </x:c>
      <x:c r="F48" s="20" t="n">
        <x:f>IFERROR(E48/C48,0)</x:f>
        <x:v>0.5822784810126567</x:v>
      </x:c>
      <x:c r="G48" s="20" t="n">
        <x:f>IFERROR(E48/D48,0)</x:f>
        <x:v>0.3679999999999994</x:v>
      </x:c>
      <x:c r="H48" t="str">
        <x:f>IF(E48="","",IF(E48&gt;0,"Profitable",IF(E48&lt;0,"Loss-Making","Break-even")))</x:f>
        <x:v>Profitable</x:v>
      </x:c>
    </x:row>
    <x:row r="49">
      <x:c r="A49" t="str">
        <x:v>SKU-048</x:v>
      </x:c>
      <x:c r="B49" t="str">
        <x:v>Product 048</x:v>
      </x:c>
      <x:c r="C49" s="22" t="n">
        <x:v>3.9233206194444437</x:v>
      </x:c>
      <x:c r="D49" s="22"/>
      <x:c r="E49" s="22" t="str">
        <x:f>IF(OR(C49="",D49=""),"",D49-C49)</x:f>
      </x:c>
      <x:c r="F49" s="20" t="n">
        <x:f>IFERROR(E49/C49,0)</x:f>
        <x:v>0</x:v>
      </x:c>
      <x:c r="G49" s="20" t="n">
        <x:f>IFERROR(E49/D49,0)</x:f>
        <x:v>0</x:v>
      </x:c>
      <x:c r="H49" t="str">
        <x:f>IF(E49="","",IF(E49&gt;0,"Profitable",IF(E49&lt;0,"Loss-Making","Break-even")))</x:f>
      </x:c>
    </x:row>
    <x:row r="50">
      <x:c r="A50" t="str">
        <x:v>SKU-049</x:v>
      </x:c>
      <x:c r="B50" t="str">
        <x:v>Product 049</x:v>
      </x:c>
      <x:c r="C50" s="22" t="n">
        <x:v>3.9233206194444437</x:v>
      </x:c>
      <x:c r="D50" s="22"/>
      <x:c r="E50" s="22" t="str">
        <x:f>IF(OR(C50="",D50=""),"",D50-C50)</x:f>
      </x:c>
      <x:c r="F50" s="20" t="n">
        <x:f>IFERROR(E50/C50,0)</x:f>
        <x:v>0</x:v>
      </x:c>
      <x:c r="G50" s="20" t="n">
        <x:f>IFERROR(E50/D50,0)</x:f>
        <x:v>0</x:v>
      </x:c>
      <x:c r="H50" t="str">
        <x:f>IF(E50="","",IF(E50&gt;0,"Profitable",IF(E50&lt;0,"Loss-Making","Break-even")))</x:f>
      </x:c>
    </x:row>
    <x:row r="51">
      <x:c r="A51" t="str">
        <x:v>SKU-050</x:v>
      </x:c>
      <x:c r="B51" t="str">
        <x:v>Product 050</x:v>
      </x:c>
      <x:c r="C51" s="22" t="n">
        <x:v>3.9233206194444437</x:v>
      </x:c>
      <x:c r="D51" s="22"/>
      <x:c r="E51" s="22" t="str">
        <x:f>IF(OR(C51="",D51=""),"",D51-C51)</x:f>
      </x:c>
      <x:c r="F51" s="20" t="n">
        <x:f>IFERROR(E51/C51,0)</x:f>
        <x:v>0</x:v>
      </x:c>
      <x:c r="G51" s="20" t="n">
        <x:f>IFERROR(E51/D51,0)</x:f>
        <x:v>0</x:v>
      </x:c>
      <x:c r="H51" t="str">
        <x:f>IF(E51="","",IF(E51&gt;0,"Profitable",IF(E51&lt;0,"Loss-Making","Break-even")))</x:f>
      </x:c>
    </x:row>
    <x:row r="52">
      <x:c r="A52" t="str">
        <x:v>SKU-051</x:v>
      </x:c>
      <x:c r="B52" t="str">
        <x:v>Product 051</x:v>
      </x:c>
      <x:c r="C52" s="22" t="n">
        <x:v>3.9233206194444437</x:v>
      </x:c>
      <x:c r="D52" s="22" t="n">
        <x:v>8.350949166666691</x:v>
      </x:c>
      <x:c r="E52" s="22" t="n">
        <x:f>IF(OR(C52="",D52=""),"",D52-C52)</x:f>
        <x:v>4.427628547222247</x:v>
      </x:c>
      <x:c r="F52" s="20" t="n">
        <x:f>IFERROR(E52/C52,0)</x:f>
        <x:v>1.1285410948262535</x:v>
      </x:c>
      <x:c r="G52" s="20" t="n">
        <x:f>IFERROR(E52/D52,0)</x:f>
        <x:v>0.530194647201948</x:v>
      </x:c>
      <x:c r="H52" t="str">
        <x:f>IF(E52="","",IF(E52&gt;0,"Profitable",IF(E52&lt;0,"Loss-Making","Break-even")))</x:f>
        <x:v>Profitable</x:v>
      </x:c>
    </x:row>
    <x:row r="53">
      <x:c r="A53" t="str">
        <x:v>SKU-052</x:v>
      </x:c>
      <x:c r="B53" t="str">
        <x:v>Product 052</x:v>
      </x:c>
      <x:c r="C53" s="22" t="n">
        <x:v>3.975336263888887</x:v>
      </x:c>
      <x:c r="D53" s="22" t="n">
        <x:v>8.6015453703704</x:v>
      </x:c>
      <x:c r="E53" s="22" t="n">
        <x:f>IF(OR(C53="",D53=""),"",D53-C53)</x:f>
        <x:v>4.626209106481514</x:v>
      </x:c>
      <x:c r="F53" s="20" t="n">
        <x:f>IFERROR(E53/C53,0)</x:f>
        <x:v>1.1637277451231025</x:v>
      </x:c>
      <x:c r="G53" s="20" t="n">
        <x:f>IFERROR(E53/D53,0)</x:f>
        <x:v>0.5378346456692932</x:v>
      </x:c>
      <x:c r="H53" t="str">
        <x:f>IF(E53="","",IF(E53&gt;0,"Profitable",IF(E53&lt;0,"Loss-Making","Break-even")))</x:f>
        <x:v>Profitable</x:v>
      </x:c>
    </x:row>
    <x:row r="54">
      <x:c r="A54" t="str">
        <x:v>SKU-053</x:v>
      </x:c>
      <x:c r="B54" t="str">
        <x:v>Product 053</x:v>
      </x:c>
      <x:c r="C54" s="22" t="n">
        <x:v>3.974320333333331</x:v>
      </x:c>
      <x:c r="D54" s="22"/>
      <x:c r="E54" s="22" t="str">
        <x:f>IF(OR(C54="",D54=""),"",D54-C54)</x:f>
      </x:c>
      <x:c r="F54" s="20" t="n">
        <x:f>IFERROR(E54/C54,0)</x:f>
        <x:v>0</x:v>
      </x:c>
      <x:c r="G54" s="20" t="n">
        <x:f>IFERROR(E54/D54,0)</x:f>
        <x:v>0</x:v>
      </x:c>
      <x:c r="H54" t="str">
        <x:f>IF(E54="","",IF(E54&gt;0,"Profitable",IF(E54&lt;0,"Loss-Making","Break-even")))</x:f>
      </x:c>
    </x:row>
    <x:row r="55">
      <x:c r="A55" t="str">
        <x:v>SKU-054</x:v>
      </x:c>
      <x:c r="B55" t="str">
        <x:v>Product 054</x:v>
      </x:c>
      <x:c r="C55" s="22" t="n">
        <x:v>3.98285415</x:v>
      </x:c>
      <x:c r="D55" s="22"/>
      <x:c r="E55" s="22" t="str">
        <x:f>IF(OR(C55="",D55=""),"",D55-C55)</x:f>
      </x:c>
      <x:c r="F55" s="20" t="n">
        <x:f>IFERROR(E55/C55,0)</x:f>
        <x:v>0</x:v>
      </x:c>
      <x:c r="G55" s="20" t="n">
        <x:f>IFERROR(E55/D55,0)</x:f>
        <x:v>0</x:v>
      </x:c>
      <x:c r="H55" t="str">
        <x:f>IF(E55="","",IF(E55&gt;0,"Profitable",IF(E55&lt;0,"Loss-Making","Break-even")))</x:f>
      </x:c>
    </x:row>
    <x:row r="56">
      <x:c r="A56" t="str">
        <x:v>SKU-055</x:v>
      </x:c>
      <x:c r="B56" t="str">
        <x:v>Product 055</x:v>
      </x:c>
      <x:c r="C56" s="22" t="n">
        <x:v>3.972288472222225</x:v>
      </x:c>
      <x:c r="D56" s="22" t="n">
        <x:v>8.6015453703704</x:v>
      </x:c>
      <x:c r="E56" s="22" t="n">
        <x:f>IF(OR(C56="",D56=""),"",D56-C56)</x:f>
        <x:v>4.629256898148176</x:v>
      </x:c>
      <x:c r="F56" s="20" t="n">
        <x:f>IFERROR(E56/C56,0)</x:f>
        <x:v>1.1653878942881561</x:v>
      </x:c>
      <x:c r="G56" s="20" t="n">
        <x:f>IFERROR(E56/D56,0)</x:f>
        <x:v>0.5381889763779542</x:v>
      </x:c>
      <x:c r="H56" t="str">
        <x:f>IF(E56="","",IF(E56&gt;0,"Profitable",IF(E56&lt;0,"Loss-Making","Break-even")))</x:f>
        <x:v>Profitable</x:v>
      </x:c>
    </x:row>
    <x:row r="57">
      <x:c r="A57" t="str">
        <x:v>SKU-056</x:v>
      </x:c>
      <x:c r="B57" t="str">
        <x:v>Product 056</x:v>
      </x:c>
      <x:c r="C57" s="22" t="n">
        <x:v>3.974320333333331</x:v>
      </x:c>
      <x:c r="D57" s="22" t="n">
        <x:v>8.65572833333331</x:v>
      </x:c>
      <x:c r="E57" s="22" t="n">
        <x:f>IF(OR(C57="",D57=""),"",D57-C57)</x:f>
        <x:v>4.681407999999978</x:v>
      </x:c>
      <x:c r="F57" s="20" t="n">
        <x:f>IFERROR(E57/C57,0)</x:f>
        <x:v>1.177914110429443</x:v>
      </x:c>
      <x:c r="G57" s="20" t="n">
        <x:f>IFERROR(E57/D57,0)</x:f>
        <x:v>0.5408450704225342</x:v>
      </x:c>
      <x:c r="H57" t="str">
        <x:f>IF(E57="","",IF(E57&gt;0,"Profitable",IF(E57&lt;0,"Loss-Making","Break-even")))</x:f>
        <x:v>Profitable</x:v>
      </x:c>
    </x:row>
    <x:row r="58">
      <x:c r="A58" t="str">
        <x:v>SKU-057</x:v>
      </x:c>
      <x:c r="B58" t="str">
        <x:v>Product 057</x:v>
      </x:c>
      <x:c r="C58" s="22" t="n">
        <x:v>5.12029</x:v>
      </x:c>
      <x:c r="D58" s="22" t="n">
        <x:v>5.85176</x:v>
      </x:c>
      <x:c r="E58" s="22" t="n">
        <x:f>IF(OR(C58="",D58=""),"",D58-C58)</x:f>
        <x:v>0.7314699999999998</x:v>
      </x:c>
      <x:c r="F58" s="20" t="n">
        <x:f>IFERROR(E58/C58,0)</x:f>
        <x:v>0.14285714285714282</x:v>
      </x:c>
      <x:c r="G58" s="20" t="n">
        <x:f>IFERROR(E58/D58,0)</x:f>
        <x:v>0.12499999999999999</x:v>
      </x:c>
      <x:c r="H58" t="str">
        <x:f>IF(E58="","",IF(E58&gt;0,"Profitable",IF(E58&lt;0,"Loss-Making","Break-even")))</x:f>
        <x:v>Profitable</x:v>
      </x:c>
    </x:row>
    <x:row r="59">
      <x:c r="A59" t="str">
        <x:v>SKU-058</x:v>
      </x:c>
      <x:c r="B59" t="str">
        <x:v>Product 058</x:v>
      </x:c>
      <x:c r="C59" s="22" t="n">
        <x:v>5.12029</x:v>
      </x:c>
      <x:c r="D59" s="22" t="n">
        <x:v>5.85176</x:v>
      </x:c>
      <x:c r="E59" s="22" t="n">
        <x:f>IF(OR(C59="",D59=""),"",D59-C59)</x:f>
        <x:v>0.7314699999999998</x:v>
      </x:c>
      <x:c r="F59" s="20" t="n">
        <x:f>IFERROR(E59/C59,0)</x:f>
        <x:v>0.14285714285714282</x:v>
      </x:c>
      <x:c r="G59" s="20" t="n">
        <x:f>IFERROR(E59/D59,0)</x:f>
        <x:v>0.12499999999999999</x:v>
      </x:c>
      <x:c r="H59" t="str">
        <x:f>IF(E59="","",IF(E59&gt;0,"Profitable",IF(E59&lt;0,"Loss-Making","Break-even")))</x:f>
        <x:v>Profitable</x:v>
      </x:c>
    </x:row>
    <x:row r="60">
      <x:c r="A60" t="str">
        <x:v>SKU-059</x:v>
      </x:c>
      <x:c r="B60" t="str">
        <x:v>Product 059</x:v>
      </x:c>
      <x:c r="C60" s="22" t="n">
        <x:v>5.12029</x:v>
      </x:c>
      <x:c r="D60" s="22" t="n">
        <x:v>5.85176</x:v>
      </x:c>
      <x:c r="E60" s="22" t="n">
        <x:f>IF(OR(C60="",D60=""),"",D60-C60)</x:f>
        <x:v>0.7314699999999998</x:v>
      </x:c>
      <x:c r="F60" s="20" t="n">
        <x:f>IFERROR(E60/C60,0)</x:f>
        <x:v>0.14285714285714282</x:v>
      </x:c>
      <x:c r="G60" s="20" t="n">
        <x:f>IFERROR(E60/D60,0)</x:f>
        <x:v>0.12499999999999999</x:v>
      </x:c>
      <x:c r="H60" t="str">
        <x:f>IF(E60="","",IF(E60&gt;0,"Profitable",IF(E60&lt;0,"Loss-Making","Break-even")))</x:f>
        <x:v>Profitable</x:v>
      </x:c>
    </x:row>
    <x:row r="61">
      <x:c r="A61" t="str">
        <x:v>SKU-060</x:v>
      </x:c>
      <x:c r="B61" t="str">
        <x:v>Product 060</x:v>
      </x:c>
      <x:c r="C61" s="22" t="n">
        <x:v>5.85176</x:v>
      </x:c>
      <x:c r="D61" s="22" t="n">
        <x:v>6.729523999999999</x:v>
      </x:c>
      <x:c r="E61" s="22" t="n">
        <x:f>IF(OR(C61="",D61=""),"",D61-C61)</x:f>
        <x:v>0.8777639999999991</x:v>
      </x:c>
      <x:c r="F61" s="20" t="n">
        <x:f>IFERROR(E61/C61,0)</x:f>
        <x:v>0.14999999999999986</x:v>
      </x:c>
      <x:c r="G61" s="20" t="n">
        <x:f>IFERROR(E61/D61,0)</x:f>
        <x:v>0.13043478260869554</x:v>
      </x:c>
      <x:c r="H61" t="str">
        <x:f>IF(E61="","",IF(E61&gt;0,"Profitable",IF(E61&lt;0,"Loss-Making","Break-even")))</x:f>
        <x:v>Profitable</x:v>
      </x:c>
    </x:row>
    <x:row r="62">
      <x:c r="A62" t="str">
        <x:v>SKU-061</x:v>
      </x:c>
      <x:c r="B62" t="str">
        <x:v>Product 061</x:v>
      </x:c>
      <x:c r="C62" s="22" t="n">
        <x:v>5.85176</x:v>
      </x:c>
      <x:c r="D62" s="22" t="n">
        <x:v>6.729523999999999</x:v>
      </x:c>
      <x:c r="E62" s="22" t="n">
        <x:f>IF(OR(C62="",D62=""),"",D62-C62)</x:f>
        <x:v>0.8777639999999991</x:v>
      </x:c>
      <x:c r="F62" s="20" t="n">
        <x:f>IFERROR(E62/C62,0)</x:f>
        <x:v>0.14999999999999986</x:v>
      </x:c>
      <x:c r="G62" s="20" t="n">
        <x:f>IFERROR(E62/D62,0)</x:f>
        <x:v>0.13043478260869554</x:v>
      </x:c>
      <x:c r="H62" t="str">
        <x:f>IF(E62="","",IF(E62&gt;0,"Profitable",IF(E62&lt;0,"Loss-Making","Break-even")))</x:f>
        <x:v>Profitable</x:v>
      </x:c>
    </x:row>
    <x:row r="63">
      <x:c r="A63" t="str">
        <x:v>SKU-062</x:v>
      </x:c>
      <x:c r="B63" t="str">
        <x:v>Product 062</x:v>
      </x:c>
      <x:c r="C63" s="22" t="n">
        <x:v>5.85176</x:v>
      </x:c>
      <x:c r="D63" s="22" t="n">
        <x:v>6.729523999999999</x:v>
      </x:c>
      <x:c r="E63" s="22" t="n">
        <x:f>IF(OR(C63="",D63=""),"",D63-C63)</x:f>
        <x:v>0.8777639999999991</x:v>
      </x:c>
      <x:c r="F63" s="20" t="n">
        <x:f>IFERROR(E63/C63,0)</x:f>
        <x:v>0.14999999999999986</x:v>
      </x:c>
      <x:c r="G63" s="20" t="n">
        <x:f>IFERROR(E63/D63,0)</x:f>
        <x:v>0.13043478260869554</x:v>
      </x:c>
      <x:c r="H63" t="str">
        <x:f>IF(E63="","",IF(E63&gt;0,"Profitable",IF(E63&lt;0,"Loss-Making","Break-even")))</x:f>
        <x:v>Profitable</x:v>
      </x:c>
    </x:row>
    <x:row r="64">
      <x:c r="A64" t="str">
        <x:v>SKU-063</x:v>
      </x:c>
      <x:c r="B64" t="str">
        <x:v>Product 063</x:v>
      </x:c>
      <x:c r="C64" s="22" t="n">
        <x:v>0.9874845</x:v>
      </x:c>
      <x:c r="D64" s="22" t="n">
        <x:v>1.3897929999999998</x:v>
      </x:c>
      <x:c r="E64" s="22" t="n">
        <x:f>IF(OR(C64="",D64=""),"",D64-C64)</x:f>
        <x:v>0.40230849999999985</x:v>
      </x:c>
      <x:c r="F64" s="20" t="n">
        <x:f>IFERROR(E64/C64,0)</x:f>
        <x:v>0.4074074074074073</x:v>
      </x:c>
      <x:c r="G64" s="20" t="n">
        <x:f>IFERROR(E64/D64,0)</x:f>
        <x:v>0.2894736842105262</x:v>
      </x:c>
      <x:c r="H64" t="str">
        <x:f>IF(E64="","",IF(E64&gt;0,"Profitable",IF(E64&lt;0,"Loss-Making","Break-even")))</x:f>
        <x:v>Profitable</x:v>
      </x:c>
    </x:row>
    <x:row r="65">
      <x:c r="A65" t="str">
        <x:v>SKU-064</x:v>
      </x:c>
      <x:c r="B65" t="str">
        <x:v>Product 064</x:v>
      </x:c>
      <x:c r="C65" s="22" t="n">
        <x:v>0.9874845</x:v>
      </x:c>
      <x:c r="D65" s="22" t="n">
        <x:v>1.8286749999999998</x:v>
      </x:c>
      <x:c r="E65" s="22" t="n">
        <x:f>IF(OR(C65="",D65=""),"",D65-C65)</x:f>
        <x:v>0.8411904999999998</x:v>
      </x:c>
      <x:c r="F65" s="20" t="n">
        <x:f>IFERROR(E65/C65,0)</x:f>
        <x:v>0.8518518518518517</x:v>
      </x:c>
      <x:c r="G65" s="20" t="n">
        <x:f>IFERROR(E65/D65,0)</x:f>
        <x:v>0.45999999999999996</x:v>
      </x:c>
      <x:c r="H65" t="str">
        <x:f>IF(E65="","",IF(E65&gt;0,"Profitable",IF(E65&lt;0,"Loss-Making","Break-even")))</x:f>
        <x:v>Profitable</x:v>
      </x:c>
    </x:row>
    <x:row r="66">
      <x:c r="A66" t="str">
        <x:v>SKU-065</x:v>
      </x:c>
      <x:c r="B66" t="str">
        <x:v>Product 065</x:v>
      </x:c>
      <x:c r="C66" s="22" t="n">
        <x:v>0.9874845</x:v>
      </x:c>
      <x:c r="D66" s="22" t="n">
        <x:v>1.3897929999999998</x:v>
      </x:c>
      <x:c r="E66" s="22" t="n">
        <x:f>IF(OR(C66="",D66=""),"",D66-C66)</x:f>
        <x:v>0.40230849999999985</x:v>
      </x:c>
      <x:c r="F66" s="20" t="n">
        <x:f>IFERROR(E66/C66,0)</x:f>
        <x:v>0.4074074074074073</x:v>
      </x:c>
      <x:c r="G66" s="20" t="n">
        <x:f>IFERROR(E66/D66,0)</x:f>
        <x:v>0.2894736842105262</x:v>
      </x:c>
      <x:c r="H66" t="str">
        <x:f>IF(E66="","",IF(E66&gt;0,"Profitable",IF(E66&lt;0,"Loss-Making","Break-even")))</x:f>
        <x:v>Profitable</x:v>
      </x:c>
    </x:row>
    <x:row r="67">
      <x:c r="A67" t="str">
        <x:v>SKU-066</x:v>
      </x:c>
      <x:c r="B67" t="str">
        <x:v>Product 066</x:v>
      </x:c>
      <x:c r="C67" s="22" t="n">
        <x:v>0.9874845</x:v>
      </x:c>
      <x:c r="D67" s="22" t="n">
        <x:v>1.3897929999999998</x:v>
      </x:c>
      <x:c r="E67" s="22" t="n">
        <x:f>IF(OR(C67="",D67=""),"",D67-C67)</x:f>
        <x:v>0.40230849999999985</x:v>
      </x:c>
      <x:c r="F67" s="20" t="n">
        <x:f>IFERROR(E67/C67,0)</x:f>
        <x:v>0.4074074074074073</x:v>
      </x:c>
      <x:c r="G67" s="20" t="n">
        <x:f>IFERROR(E67/D67,0)</x:f>
        <x:v>0.2894736842105262</x:v>
      </x:c>
      <x:c r="H67" t="str">
        <x:f>IF(E67="","",IF(E67&gt;0,"Profitable",IF(E67&lt;0,"Loss-Making","Break-even")))</x:f>
        <x:v>Profitable</x:v>
      </x:c>
    </x:row>
    <x:row r="68">
      <x:c r="A68" t="str">
        <x:v>SKU-067</x:v>
      </x:c>
      <x:c r="B68" t="str">
        <x:v>Product 067</x:v>
      </x:c>
      <x:c r="C68" s="22" t="n">
        <x:v>0.9874845</x:v>
      </x:c>
      <x:c r="D68" s="22" t="n">
        <x:v>1.3897929999999998</x:v>
      </x:c>
      <x:c r="E68" s="22" t="n">
        <x:f>IF(OR(C68="",D68=""),"",D68-C68)</x:f>
        <x:v>0.40230849999999985</x:v>
      </x:c>
      <x:c r="F68" s="20" t="n">
        <x:f>IFERROR(E68/C68,0)</x:f>
        <x:v>0.4074074074074073</x:v>
      </x:c>
      <x:c r="G68" s="20" t="n">
        <x:f>IFERROR(E68/D68,0)</x:f>
        <x:v>0.2894736842105262</x:v>
      </x:c>
      <x:c r="H68" t="str">
        <x:f>IF(E68="","",IF(E68&gt;0,"Profitable",IF(E68&lt;0,"Loss-Making","Break-even")))</x:f>
        <x:v>Profitable</x:v>
      </x:c>
    </x:row>
    <x:row r="69">
      <x:c r="A69" t="str">
        <x:v>SKU-068</x:v>
      </x:c>
      <x:c r="B69" t="str">
        <x:v>Product 068</x:v>
      </x:c>
      <x:c r="C69" s="22" t="n">
        <x:v>0.9874845</x:v>
      </x:c>
      <x:c r="D69" s="22" t="n">
        <x:v>1.3897929999999998</x:v>
      </x:c>
      <x:c r="E69" s="22" t="n">
        <x:f>IF(OR(C69="",D69=""),"",D69-C69)</x:f>
        <x:v>0.40230849999999985</x:v>
      </x:c>
      <x:c r="F69" s="20" t="n">
        <x:f>IFERROR(E69/C69,0)</x:f>
        <x:v>0.4074074074074073</x:v>
      </x:c>
      <x:c r="G69" s="20" t="n">
        <x:f>IFERROR(E69/D69,0)</x:f>
        <x:v>0.2894736842105262</x:v>
      </x:c>
      <x:c r="H69" t="str">
        <x:f>IF(E69="","",IF(E69&gt;0,"Profitable",IF(E69&lt;0,"Loss-Making","Break-even")))</x:f>
        <x:v>Profitable</x:v>
      </x:c>
    </x:row>
    <x:row r="70">
      <x:c r="A70" t="str">
        <x:v>SKU-069</x:v>
      </x:c>
      <x:c r="B70" t="str">
        <x:v>Product 069</x:v>
      </x:c>
      <x:c r="C70" s="22" t="n">
        <x:v>7.1318325</x:v>
      </x:c>
      <x:c r="D70" s="22" t="n">
        <x:v>8.04617</x:v>
      </x:c>
      <x:c r="E70" s="22" t="n">
        <x:f>IF(OR(C70="",D70=""),"",D70-C70)</x:f>
        <x:v>0.9143375000000002</x:v>
      </x:c>
      <x:c r="F70" s="20" t="n">
        <x:f>IFERROR(E70/C70,0)</x:f>
        <x:v>0.12820512820512825</x:v>
      </x:c>
      <x:c r="G70" s="20" t="n">
        <x:f>IFERROR(E70/D70,0)</x:f>
        <x:v>0.11363636363636366</x:v>
      </x:c>
      <x:c r="H70" t="str">
        <x:f>IF(E70="","",IF(E70&gt;0,"Profitable",IF(E70&lt;0,"Loss-Making","Break-even")))</x:f>
        <x:v>Profitable</x:v>
      </x:c>
    </x:row>
    <x:row r="71">
      <x:c r="A71" t="str">
        <x:v>SKU-070</x:v>
      </x:c>
      <x:c r="B71" t="str">
        <x:v>Product 070</x:v>
      </x:c>
      <x:c r="C71" s="22" t="n">
        <x:v>7.1318325</x:v>
      </x:c>
      <x:c r="D71" s="22" t="n">
        <x:v>8.04617</x:v>
      </x:c>
      <x:c r="E71" s="22" t="n">
        <x:f>IF(OR(C71="",D71=""),"",D71-C71)</x:f>
        <x:v>0.9143375000000002</x:v>
      </x:c>
      <x:c r="F71" s="20" t="n">
        <x:f>IFERROR(E71/C71,0)</x:f>
        <x:v>0.12820512820512825</x:v>
      </x:c>
      <x:c r="G71" s="20" t="n">
        <x:f>IFERROR(E71/D71,0)</x:f>
        <x:v>0.11363636363636366</x:v>
      </x:c>
      <x:c r="H71" t="str">
        <x:f>IF(E71="","",IF(E71&gt;0,"Profitable",IF(E71&lt;0,"Loss-Making","Break-even")))</x:f>
        <x:v>Profitable</x:v>
      </x:c>
    </x:row>
    <x:row r="72">
      <x:c r="A72" t="str">
        <x:v>SKU-071</x:v>
      </x:c>
      <x:c r="B72" t="str">
        <x:v>Product 071</x:v>
      </x:c>
      <x:c r="C72" s="22" t="n">
        <x:v>7.1318325</x:v>
      </x:c>
      <x:c r="D72" s="22" t="n">
        <x:v>8.04617</x:v>
      </x:c>
      <x:c r="E72" s="22" t="n">
        <x:f>IF(OR(C72="",D72=""),"",D72-C72)</x:f>
        <x:v>0.9143375000000002</x:v>
      </x:c>
      <x:c r="F72" s="20" t="n">
        <x:f>IFERROR(E72/C72,0)</x:f>
        <x:v>0.12820512820512825</x:v>
      </x:c>
      <x:c r="G72" s="20" t="n">
        <x:f>IFERROR(E72/D72,0)</x:f>
        <x:v>0.11363636363636366</x:v>
      </x:c>
      <x:c r="H72" t="str">
        <x:f>IF(E72="","",IF(E72&gt;0,"Profitable",IF(E72&lt;0,"Loss-Making","Break-even")))</x:f>
        <x:v>Profitable</x:v>
      </x:c>
    </x:row>
    <x:row r="73">
      <x:c r="A73" t="str">
        <x:v>SKU-072</x:v>
      </x:c>
      <x:c r="B73" t="str">
        <x:v>Product 072</x:v>
      </x:c>
      <x:c r="C73" s="22" t="n">
        <x:v>0.8777639999999999</x:v>
      </x:c>
      <x:c r="D73" s="22" t="n">
        <x:v>0.2610651261904762</x:v>
      </x:c>
      <x:c r="E73" s="22" t="n">
        <x:f>IF(OR(C73="",D73=""),"",D73-C73)</x:f>
        <x:v>-0.6166988738095236</x:v>
      </x:c>
      <x:c r="F73" s="20" t="n">
        <x:f>IFERROR(E73/C73,0)</x:f>
        <x:v>-0.7025793650793649</x:v>
      </x:c>
      <x:c r="G73" s="20" t="n">
        <x:f>IFERROR(E73/D73,0)</x:f>
        <x:v>-2.362241494329552</x:v>
      </x:c>
      <x:c r="H73" t="str">
        <x:f>IF(E73="","",IF(E73&gt;0,"Profitable",IF(E73&lt;0,"Loss-Making","Break-even")))</x:f>
        <x:v>Loss-Making</x:v>
      </x:c>
    </x:row>
    <x:row r="74">
      <x:c r="A74" t="str">
        <x:v>SKU-073</x:v>
      </x:c>
      <x:c r="B74" t="str">
        <x:v>Product 073</x:v>
      </x:c>
      <x:c r="C74" s="22" t="n">
        <x:v>0.8777639999999999</x:v>
      </x:c>
      <x:c r="D74" s="22" t="n">
        <x:v>0.22862247239583308</x:v>
      </x:c>
      <x:c r="E74" s="22" t="n">
        <x:f>IF(OR(C74="",D74=""),"",D74-C74)</x:f>
        <x:v>-0.6491415276041668</x:v>
      </x:c>
      <x:c r="F74" s="20" t="n">
        <x:f>IFERROR(E74/C74,0)</x:f>
        <x:v>-0.7395399305555558</x:v>
      </x:c>
      <x:c r="G74" s="20" t="n">
        <x:f>IFERROR(E74/D74,0)</x:f>
        <x:v>-2.8393601066488956</x:v>
      </x:c>
      <x:c r="H74" t="str">
        <x:f>IF(E74="","",IF(E74&gt;0,"Profitable",IF(E74&lt;0,"Loss-Making","Break-even")))</x:f>
        <x:v>Loss-Making</x:v>
      </x:c>
    </x:row>
    <x:row r="75">
      <x:c r="A75" t="str">
        <x:v>SKU-074</x:v>
      </x:c>
      <x:c r="B75" t="str">
        <x:v>Product 074</x:v>
      </x:c>
      <x:c r="C75" s="22" t="n">
        <x:v>0.8777639999999999</x:v>
      </x:c>
      <x:c r="D75" s="22" t="n">
        <x:v>0.40403558194444433</x:v>
      </x:c>
      <x:c r="E75" s="22" t="n">
        <x:f>IF(OR(C75="",D75=""),"",D75-C75)</x:f>
        <x:v>-0.47372841805555554</x:v>
      </x:c>
      <x:c r="F75" s="20" t="n">
        <x:f>IFERROR(E75/C75,0)</x:f>
        <x:v>-0.5396990740740741</x:v>
      </x:c>
      <x:c r="G75" s="20" t="n">
        <x:f>IFERROR(E75/D75,0)</x:f>
        <x:v>-1.1724918280110639</x:v>
      </x:c>
      <x:c r="H75" t="str">
        <x:f>IF(E75="","",IF(E75&gt;0,"Profitable",IF(E75&lt;0,"Loss-Making","Break-even")))</x:f>
        <x:v>Loss-Making</x:v>
      </x:c>
    </x:row>
    <x:row r="76">
      <x:c r="A76" t="str">
        <x:v>SKU-075</x:v>
      </x:c>
      <x:c r="B76" t="str">
        <x:v>Product 075</x:v>
      </x:c>
      <x:c r="C76" s="22" t="n">
        <x:v>0.8777639999999999</x:v>
      </x:c>
      <x:c r="D76" s="22" t="n">
        <x:v>0.40403558194444433</x:v>
      </x:c>
      <x:c r="E76" s="22" t="n">
        <x:f>IF(OR(C76="",D76=""),"",D76-C76)</x:f>
        <x:v>-0.47372841805555554</x:v>
      </x:c>
      <x:c r="F76" s="20" t="n">
        <x:f>IFERROR(E76/C76,0)</x:f>
        <x:v>-0.5396990740740741</x:v>
      </x:c>
      <x:c r="G76" s="20" t="n">
        <x:f>IFERROR(E76/D76,0)</x:f>
        <x:v>-1.1724918280110639</x:v>
      </x:c>
      <x:c r="H76" t="str">
        <x:f>IF(E76="","",IF(E76&gt;0,"Profitable",IF(E76&lt;0,"Loss-Making","Break-even")))</x:f>
        <x:v>Loss-Making</x:v>
      </x:c>
    </x:row>
    <x:row r="77">
      <x:c r="A77" t="str">
        <x:v>SKU-076</x:v>
      </x:c>
      <x:c r="B77" t="str">
        <x:v>Product 076</x:v>
      </x:c>
      <x:c r="C77" s="22" t="n">
        <x:v>0.8777639999999999</x:v>
      </x:c>
      <x:c r="D77" s="22" t="n">
        <x:v>0.40403558194444433</x:v>
      </x:c>
      <x:c r="E77" s="22" t="n">
        <x:f>IF(OR(C77="",D77=""),"",D77-C77)</x:f>
        <x:v>-0.47372841805555554</x:v>
      </x:c>
      <x:c r="F77" s="20" t="n">
        <x:f>IFERROR(E77/C77,0)</x:f>
        <x:v>-0.5396990740740741</x:v>
      </x:c>
      <x:c r="G77" s="20" t="n">
        <x:f>IFERROR(E77/D77,0)</x:f>
        <x:v>-1.1724918280110639</x:v>
      </x:c>
      <x:c r="H77" t="str">
        <x:f>IF(E77="","",IF(E77&gt;0,"Profitable",IF(E77&lt;0,"Loss-Making","Break-even")))</x:f>
        <x:v>Loss-Making</x:v>
      </x:c>
    </x:row>
    <x:row r="78">
      <x:c r="A78" t="str">
        <x:v>SKU-077</x:v>
      </x:c>
      <x:c r="B78" t="str">
        <x:v>Product 077</x:v>
      </x:c>
      <x:c r="C78" s="22" t="n">
        <x:v>0.8777639999999999</x:v>
      </x:c>
      <x:c r="D78" s="22" t="n">
        <x:v>0.4845379191666669</x:v>
      </x:c>
      <x:c r="E78" s="22" t="n">
        <x:f>IF(OR(C78="",D78=""),"",D78-C78)</x:f>
        <x:v>-0.393226080833333</x:v>
      </x:c>
      <x:c r="F78" s="20" t="n">
        <x:f>IFERROR(E78/C78,0)</x:f>
        <x:v>-0.4479861111111108</x:v>
      </x:c>
      <x:c r="G78" s="20" t="n">
        <x:f>IFERROR(E78/D78,0)</x:f>
        <x:v>-0.8115486224682339</x:v>
      </x:c>
      <x:c r="H78" t="str">
        <x:f>IF(E78="","",IF(E78&gt;0,"Profitable",IF(E78&lt;0,"Loss-Making","Break-even")))</x:f>
        <x:v>Loss-Making</x:v>
      </x:c>
    </x:row>
    <x:row r="79">
      <x:c r="A79" t="str">
        <x:v>SKU-078</x:v>
      </x:c>
      <x:c r="B79" t="str">
        <x:v>Product 078</x:v>
      </x:c>
      <x:c r="C79" s="22" t="n">
        <x:v>2.633292</x:v>
      </x:c>
      <x:c r="D79" s="22" t="n">
        <x:v>5.486025</x:v>
      </x:c>
      <x:c r="E79" s="22" t="n">
        <x:f>IF(OR(C79="",D79=""),"",D79-C79)</x:f>
        <x:v>2.8527329999999997</x:v>
      </x:c>
      <x:c r="F79" s="20" t="n">
        <x:f>IFERROR(E79/C79,0)</x:f>
        <x:v>1.0833333333333333</x:v>
      </x:c>
      <x:c r="G79" s="20" t="n">
        <x:f>IFERROR(E79/D79,0)</x:f>
        <x:v>0.52</x:v>
      </x:c>
      <x:c r="H79" t="str">
        <x:f>IF(E79="","",IF(E79&gt;0,"Profitable",IF(E79&lt;0,"Loss-Making","Break-even")))</x:f>
        <x:v>Profitable</x:v>
      </x:c>
    </x:row>
    <x:row r="80">
      <x:c r="A80" t="str">
        <x:v>SKU-079</x:v>
      </x:c>
      <x:c r="B80" t="str">
        <x:v>Product 079</x:v>
      </x:c>
      <x:c r="C80" s="22" t="n">
        <x:v>2.633292</x:v>
      </x:c>
      <x:c r="D80" s="22" t="n">
        <x:v>5.486025</x:v>
      </x:c>
      <x:c r="E80" s="22" t="n">
        <x:f>IF(OR(C80="",D80=""),"",D80-C80)</x:f>
        <x:v>2.8527329999999997</x:v>
      </x:c>
      <x:c r="F80" s="20" t="n">
        <x:f>IFERROR(E80/C80,0)</x:f>
        <x:v>1.0833333333333333</x:v>
      </x:c>
      <x:c r="G80" s="20" t="n">
        <x:f>IFERROR(E80/D80,0)</x:f>
        <x:v>0.52</x:v>
      </x:c>
      <x:c r="H80" t="str">
        <x:f>IF(E80="","",IF(E80&gt;0,"Profitable",IF(E80&lt;0,"Loss-Making","Break-even")))</x:f>
        <x:v>Profitable</x:v>
      </x:c>
    </x:row>
    <x:row r="81">
      <x:c r="A81" t="str">
        <x:v>SKU-080</x:v>
      </x:c>
      <x:c r="B81" t="str">
        <x:v>Product 080</x:v>
      </x:c>
      <x:c r="C81" s="22" t="n">
        <x:v>2.633292</x:v>
      </x:c>
      <x:c r="D81" s="22" t="n">
        <x:v>5.486025</x:v>
      </x:c>
      <x:c r="E81" s="22" t="n">
        <x:f>IF(OR(C81="",D81=""),"",D81-C81)</x:f>
        <x:v>2.8527329999999997</x:v>
      </x:c>
      <x:c r="F81" s="20" t="n">
        <x:f>IFERROR(E81/C81,0)</x:f>
        <x:v>1.0833333333333333</x:v>
      </x:c>
      <x:c r="G81" s="20" t="n">
        <x:f>IFERROR(E81/D81,0)</x:f>
        <x:v>0.52</x:v>
      </x:c>
      <x:c r="H81" t="str">
        <x:f>IF(E81="","",IF(E81&gt;0,"Profitable",IF(E81&lt;0,"Loss-Making","Break-even")))</x:f>
        <x:v>Profitable</x:v>
      </x:c>
    </x:row>
    <x:row r="82">
      <x:c r="A82" t="str">
        <x:v>SKU-081</x:v>
      </x:c>
      <x:c r="B82" t="str">
        <x:v>Product 081</x:v>
      </x:c>
      <x:c r="C82" s="22" t="n">
        <x:v>2.633292</x:v>
      </x:c>
      <x:c r="D82" s="22" t="n">
        <x:v>5.486025</x:v>
      </x:c>
      <x:c r="E82" s="22" t="n">
        <x:f>IF(OR(C82="",D82=""),"",D82-C82)</x:f>
        <x:v>2.8527329999999997</x:v>
      </x:c>
      <x:c r="F82" s="20" t="n">
        <x:f>IFERROR(E82/C82,0)</x:f>
        <x:v>1.0833333333333333</x:v>
      </x:c>
      <x:c r="G82" s="20" t="n">
        <x:f>IFERROR(E82/D82,0)</x:f>
        <x:v>0.52</x:v>
      </x:c>
      <x:c r="H82" t="str">
        <x:f>IF(E82="","",IF(E82&gt;0,"Profitable",IF(E82&lt;0,"Loss-Making","Break-even")))</x:f>
        <x:v>Profitable</x:v>
      </x:c>
    </x:row>
    <x:row r="83">
      <x:c r="A83" t="str">
        <x:v>SKU-082</x:v>
      </x:c>
      <x:c r="B83" t="str">
        <x:v>Product 082</x:v>
      </x:c>
      <x:c r="C83" s="22" t="n">
        <x:v>2.633292</x:v>
      </x:c>
      <x:c r="D83" s="22" t="n">
        <x:v>5.486025</x:v>
      </x:c>
      <x:c r="E83" s="22" t="n">
        <x:f>IF(OR(C83="",D83=""),"",D83-C83)</x:f>
        <x:v>2.8527329999999997</x:v>
      </x:c>
      <x:c r="F83" s="20" t="n">
        <x:f>IFERROR(E83/C83,0)</x:f>
        <x:v>1.0833333333333333</x:v>
      </x:c>
      <x:c r="G83" s="20" t="n">
        <x:f>IFERROR(E83/D83,0)</x:f>
        <x:v>0.52</x:v>
      </x:c>
      <x:c r="H83" t="str">
        <x:f>IF(E83="","",IF(E83&gt;0,"Profitable",IF(E83&lt;0,"Loss-Making","Break-even")))</x:f>
        <x:v>Profitable</x:v>
      </x:c>
    </x:row>
    <x:row r="84">
      <x:c r="A84" t="str">
        <x:v>SKU-083</x:v>
      </x:c>
      <x:c r="B84" t="str">
        <x:v>Product 083</x:v>
      </x:c>
      <x:c r="C84" s="22" t="n">
        <x:v>2.633292</x:v>
      </x:c>
      <x:c r="D84" s="22" t="n">
        <x:v>5.486025</x:v>
      </x:c>
      <x:c r="E84" s="22" t="n">
        <x:f>IF(OR(C84="",D84=""),"",D84-C84)</x:f>
        <x:v>2.8527329999999997</x:v>
      </x:c>
      <x:c r="F84" s="20" t="n">
        <x:f>IFERROR(E84/C84,0)</x:f>
        <x:v>1.0833333333333333</x:v>
      </x:c>
      <x:c r="G84" s="20" t="n">
        <x:f>IFERROR(E84/D84,0)</x:f>
        <x:v>0.52</x:v>
      </x:c>
      <x:c r="H84" t="str">
        <x:f>IF(E84="","",IF(E84&gt;0,"Profitable",IF(E84&lt;0,"Loss-Making","Break-even")))</x:f>
        <x:v>Profitable</x:v>
      </x:c>
    </x:row>
  </x:sheetData>
  <x:conditionalFormatting sqref="H2:H84">
    <x:cfRule type="expression" dxfId="9" priority="1">
      <x:formula>H2="Profitable"</x:formula>
    </x:cfRule>
    <x:cfRule type="expression" dxfId="10" priority="2">
      <x:formula>H2="Loss-Making"</x:formula>
    </x:cfRule>
    <x:cfRule type="expression" dxfId="11" priority="3">
      <x:formula>H2="Break-even"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ITEM</x:v>
      </x:c>
      <x:c r="B1" s="6" t="str">
        <x:v>TOTAL QTY SOLD</x:v>
      </x:c>
      <x:c r="C1" s="6" t="str">
        <x:v>TOTAL SALE VALUE</x:v>
      </x:c>
      <x:c r="D1" s="6" t="str">
        <x:v>TOTAL PURCHASE VALUE</x:v>
      </x:c>
      <x:c r="E1" s="6" t="str">
        <x:v>TOTAL PROFIT</x:v>
      </x:c>
      <x:c r="F1" s="6" t="str">
        <x:v>MARKUP %</x:v>
      </x:c>
      <x:c r="G1" s="6" t="str">
        <x:v>GROSS MARGIN %</x:v>
      </x:c>
      <x:c r="H1" s="6" t="str">
        <x:v>PERFORMANCE</x:v>
      </x:c>
    </x:row>
    <x:row r="2">
      <x:c r="A2" t="str">
        <x:v>Product 001</x:v>
      </x:c>
      <x:c r="B2" s="18" t="n">
        <x:v>0</x:v>
      </x:c>
      <x:c r="C2" s="18" t="n">
        <x:v>0</x:v>
      </x:c>
      <x:c r="D2" s="18" t="n">
        <x:v>0</x:v>
      </x:c>
      <x:c r="E2" s="18" t="n">
        <x:v>0</x:v>
      </x:c>
      <x:c r="F2" s="20" t="n">
        <x:f>IFERROR(E2/D2,0)</x:f>
        <x:v>0</x:v>
      </x:c>
      <x:c r="G2" s="20" t="n">
        <x:f>IFERROR(E2/C2,0)</x:f>
        <x:v>0</x:v>
      </x:c>
      <x:c r="H2" t="str">
        <x:f>IF(E2&gt;0,"Profitable",IF(E2&lt;0,"Loss-Making","Break-even"))</x:f>
        <x:v>Break-even</x:v>
      </x:c>
    </x:row>
    <x:row r="3">
      <x:c r="A3" t="str">
        <x:v>Product 002</x:v>
      </x:c>
      <x:c r="B3" s="18" t="n">
        <x:v>637.46676</x:v>
      </x:c>
      <x:c r="C3" s="18" t="n">
        <x:v>7155.971009999999</x:v>
      </x:c>
      <x:c r="D3" s="18" t="n">
        <x:v>3262.6487879999995</x:v>
      </x:c>
      <x:c r="E3" s="18" t="n">
        <x:v>3893.3222220000002</x:v>
      </x:c>
      <x:c r="F3" s="20" t="n">
        <x:f>IFERROR(E3/D3,0)</x:f>
        <x:v>1.193301049233253</x:v>
      </x:c>
      <x:c r="G3" s="20" t="n">
        <x:f>IFERROR(E3/C3,0)</x:f>
        <x:v>0.5440662373505061</x:v>
      </x:c>
      <x:c r="H3" t="str">
        <x:f>IF(E3&gt;0,"Profitable",IF(E3&lt;0,"Loss-Making","Break-even"))</x:f>
        <x:v>Profitable</x:v>
      </x:c>
    </x:row>
    <x:row r="4">
      <x:c r="A4" t="str">
        <x:v>Product 003</x:v>
      </x:c>
      <x:c r="B4" s="18" t="n">
        <x:v>636.5560932</x:v>
      </x:c>
      <x:c r="C4" s="18" t="n">
        <x:v>7148.3052044</x:v>
      </x:c>
      <x:c r="D4" s="18" t="n">
        <x:v>3257.98786116</x:v>
      </x:c>
      <x:c r="E4" s="18" t="n">
        <x:v>3890.31734324</x:v>
      </x:c>
      <x:c r="F4" s="20" t="n">
        <x:f>IFERROR(E4/D4,0)</x:f>
        <x:v>1.1940858925898086</x:v>
      </x:c>
      <x:c r="G4" s="20" t="n">
        <x:f>IFERROR(E4/C4,0)</x:f>
        <x:v>0.54422932877088</x:v>
      </x:c>
      <x:c r="H4" t="str">
        <x:f>IF(E4&gt;0,"Profitable",IF(E4&lt;0,"Loss-Making","Break-even"))</x:f>
        <x:v>Profitable</x:v>
      </x:c>
    </x:row>
    <x:row r="5">
      <x:c r="A5" t="str">
        <x:v>Product 004</x:v>
      </x:c>
      <x:c r="B5" s="18" t="n">
        <x:v>607.1112</x:v>
      </x:c>
      <x:c r="C5" s="18" t="n">
        <x:v>6497.721157</x:v>
      </x:c>
      <x:c r="D5" s="18" t="n">
        <x:v>3107.2845599999996</x:v>
      </x:c>
      <x:c r="E5" s="18" t="n">
        <x:v>3390.436597</x:v>
      </x:c>
      <x:c r="F5" s="20" t="n">
        <x:f>IFERROR(E5/D5,0)</x:f>
        <x:v>1.0911252354048966</x:v>
      </x:c>
      <x:c r="G5" s="20" t="n">
        <x:f>IFERROR(E5/C5,0)</x:f>
        <x:v>0.5217885648028279</x:v>
      </x:c>
      <x:c r="H5" t="str">
        <x:f>IF(E5&gt;0,"Profitable",IF(E5&lt;0,"Loss-Making","Break-even"))</x:f>
        <x:v>Profitable</x:v>
      </x:c>
    </x:row>
    <x:row r="6">
      <x:c r="A6" t="str">
        <x:v>Product 005</x:v>
      </x:c>
      <x:c r="B6" s="18" t="n">
        <x:v>15501.57264</x:v>
      </x:c>
      <x:c r="C6" s="18" t="n">
        <x:v>24466.793736</x:v>
      </x:c>
      <x:c r="D6" s="18" t="n">
        <x:v>18153.915048</x:v>
      </x:c>
      <x:c r="E6" s="18" t="n">
        <x:v>6312.878688</x:v>
      </x:c>
      <x:c r="F6" s="20" t="n">
        <x:f>IFERROR(E6/D6,0)</x:f>
        <x:v>0.34774199787254617</x:v>
      </x:c>
      <x:c r="G6" s="20" t="n">
        <x:f>IFERROR(E6/C6,0)</x:f>
        <x:v>0.25801822486905357</x:v>
      </x:c>
      <x:c r="H6" t="str">
        <x:f>IF(E6&gt;0,"Profitable",IF(E6&lt;0,"Loss-Making","Break-even"))</x:f>
        <x:v>Profitable</x:v>
      </x:c>
    </x:row>
    <x:row r="7">
      <x:c r="A7" t="str">
        <x:v>Product 006</x:v>
      </x:c>
      <x:c r="B7" s="18" t="n">
        <x:v>15501.57264</x:v>
      </x:c>
      <x:c r="C7" s="18" t="n">
        <x:v>24466.793736</x:v>
      </x:c>
      <x:c r="D7" s="18" t="n">
        <x:v>18153.915048</x:v>
      </x:c>
      <x:c r="E7" s="18" t="n">
        <x:v>6312.878688</x:v>
      </x:c>
      <x:c r="F7" s="20" t="n">
        <x:f>IFERROR(E7/D7,0)</x:f>
        <x:v>0.34774199787254617</x:v>
      </x:c>
      <x:c r="G7" s="20" t="n">
        <x:f>IFERROR(E7/C7,0)</x:f>
        <x:v>0.25801822486905357</x:v>
      </x:c>
      <x:c r="H7" t="str">
        <x:f>IF(E7&gt;0,"Profitable",IF(E7&lt;0,"Loss-Making","Break-even"))</x:f>
        <x:v>Profitable</x:v>
      </x:c>
    </x:row>
    <x:row r="8">
      <x:c r="A8" t="str">
        <x:v>Product 007</x:v>
      </x:c>
      <x:c r="B8" s="18" t="n">
        <x:v>15177.78</x:v>
      </x:c>
      <x:c r="C8" s="18" t="n">
        <x:v>23947.157447999998</x:v>
      </x:c>
      <x:c r="D8" s="18" t="n">
        <x:v>17774.720999999998</x:v>
      </x:c>
      <x:c r="E8" s="18" t="n">
        <x:v>6172.4364479999995</x:v>
      </x:c>
      <x:c r="F8" s="20" t="n">
        <x:f>IFERROR(E8/D8,0)</x:f>
        <x:v>0.34725925925925927</x:v>
      </x:c>
      <x:c r="G8" s="20" t="n">
        <x:f>IFERROR(E8/C8,0)</x:f>
        <x:v>0.2577523641961733</x:v>
      </x:c>
      <x:c r="H8" t="str">
        <x:f>IF(E8&gt;0,"Profitable",IF(E8&lt;0,"Loss-Making","Break-even"))</x:f>
        <x:v>Profitable</x:v>
      </x:c>
    </x:row>
    <x:row r="9">
      <x:c r="A9" t="str">
        <x:v>Product 008</x:v>
      </x:c>
      <x:c r="B9" s="18" t="n">
        <x:v>15501.57264</x:v>
      </x:c>
      <x:c r="C9" s="18" t="n">
        <x:v>24466.793736</x:v>
      </x:c>
      <x:c r="D9" s="18" t="n">
        <x:v>18153.915048</x:v>
      </x:c>
      <x:c r="E9" s="18" t="n">
        <x:v>6312.878688</x:v>
      </x:c>
      <x:c r="F9" s="20" t="n">
        <x:f>IFERROR(E9/D9,0)</x:f>
        <x:v>0.34774199787254617</x:v>
      </x:c>
      <x:c r="G9" s="20" t="n">
        <x:f>IFERROR(E9/C9,0)</x:f>
        <x:v>0.25801822486905357</x:v>
      </x:c>
      <x:c r="H9" t="str">
        <x:f>IF(E9&gt;0,"Profitable",IF(E9&lt;0,"Loss-Making","Break-even"))</x:f>
        <x:v>Profitable</x:v>
      </x:c>
    </x:row>
    <x:row r="10">
      <x:c r="A10" t="str">
        <x:v>Product 009</x:v>
      </x:c>
      <x:c r="B10" s="18" t="n">
        <x:v>15461.09856</x:v>
      </x:c>
      <x:c r="C10" s="18" t="n">
        <x:v>24401.8392</x:v>
      </x:c>
      <x:c r="D10" s="18" t="n">
        <x:v>18106.515792</x:v>
      </x:c>
      <x:c r="E10" s="18" t="n">
        <x:v>6295.323407999999</x:v>
      </x:c>
      <x:c r="F10" s="20" t="n">
        <x:f>IFERROR(E10/D10,0)</x:f>
        <x:v>0.3476827612953267</x:v>
      </x:c>
      <x:c r="G10" s="20" t="n">
        <x:f>IFERROR(E10/C10,0)</x:f>
        <x:v>0.25798561151079136</x:v>
      </x:c>
      <x:c r="H10" t="str">
        <x:f>IF(E10&gt;0,"Profitable",IF(E10&lt;0,"Loss-Making","Break-even"))</x:f>
        <x:v>Profitable</x:v>
      </x:c>
    </x:row>
    <x:row r="11">
      <x:c r="A11" t="str">
        <x:v>Product 010</x:v>
      </x:c>
      <x:c r="B11" s="18" t="n">
        <x:v>15461.09856</x:v>
      </x:c>
      <x:c r="C11" s="18" t="n">
        <x:v>24401.8392</x:v>
      </x:c>
      <x:c r="D11" s="18" t="n">
        <x:v>18106.515792</x:v>
      </x:c>
      <x:c r="E11" s="18" t="n">
        <x:v>6295.323407999999</x:v>
      </x:c>
      <x:c r="F11" s="20" t="n">
        <x:f>IFERROR(E11/D11,0)</x:f>
        <x:v>0.3476827612953267</x:v>
      </x:c>
      <x:c r="G11" s="20" t="n">
        <x:f>IFERROR(E11/C11,0)</x:f>
        <x:v>0.25798561151079136</x:v>
      </x:c>
      <x:c r="H11" t="str">
        <x:f>IF(E11&gt;0,"Profitable",IF(E11&lt;0,"Loss-Making","Break-even"))</x:f>
        <x:v>Profitable</x:v>
      </x:c>
    </x:row>
    <x:row r="12">
      <x:c r="A12" t="str">
        <x:v>Product 011</x:v>
      </x:c>
      <x:c r="B12" s="18" t="n">
        <x:v>0</x:v>
      </x:c>
      <x:c r="C12" s="18" t="n">
        <x:v>21361.264703999997</x:v>
      </x:c>
      <x:c r="D12" s="18" t="n">
        <x:v>0</x:v>
      </x:c>
      <x:c r="E12" s="18" t="n">
        <x:v>21361.264703999997</x:v>
      </x:c>
      <x:c r="F12" s="20" t="n">
        <x:f>IFERROR(E12/D12,0)</x:f>
        <x:v>0</x:v>
      </x:c>
      <x:c r="G12" s="20" t="n">
        <x:f>IFERROR(E12/C12,0)</x:f>
        <x:v>1</x:v>
      </x:c>
      <x:c r="H12" t="str">
        <x:f>IF(E12&gt;0,"Profitable",IF(E12&lt;0,"Loss-Making","Break-even"))</x:f>
        <x:v>Profitable</x:v>
      </x:c>
    </x:row>
    <x:row r="13">
      <x:c r="A13" t="str">
        <x:v>Product 012</x:v>
      </x:c>
      <x:c r="B13" s="18" t="n">
        <x:v>0</x:v>
      </x:c>
      <x:c r="C13" s="18" t="n">
        <x:v>0.585176</x:v>
      </x:c>
      <x:c r="D13" s="18" t="n">
        <x:v>0</x:v>
      </x:c>
      <x:c r="E13" s="18" t="n">
        <x:v>0.585176</x:v>
      </x:c>
      <x:c r="F13" s="20" t="n">
        <x:f>IFERROR(E13/D13,0)</x:f>
        <x:v>0</x:v>
      </x:c>
      <x:c r="G13" s="20" t="n">
        <x:f>IFERROR(E13/C13,0)</x:f>
        <x:v>1</x:v>
      </x:c>
      <x:c r="H13" t="str">
        <x:f>IF(E13&gt;0,"Profitable",IF(E13&lt;0,"Loss-Making","Break-even"))</x:f>
        <x:v>Profitable</x:v>
      </x:c>
    </x:row>
    <x:row r="14">
      <x:c r="A14" t="str">
        <x:v>Product 013</x:v>
      </x:c>
      <x:c r="B14" s="18" t="n">
        <x:v>2428.4448</x:v>
      </x:c>
      <x:c r="C14" s="18" t="n">
        <x:v>1345.6195266999998</x:v>
      </x:c>
      <x:c r="D14" s="18" t="n">
        <x:v>1283.72985</x:v>
      </x:c>
      <x:c r="E14" s="18" t="n">
        <x:v>61.88967670000007</x:v>
      </x:c>
      <x:c r="F14" s="20" t="n">
        <x:f>IFERROR(E14/D14,0)</x:f>
        <x:v>0.048210826210826264</x:v>
      </x:c>
      <x:c r="G14" s="20" t="n">
        <x:f>IFERROR(E14/C14,0)</x:f>
        <x:v>0.04599344426264268</x:v>
      </x:c>
      <x:c r="H14" t="str">
        <x:f>IF(E14&gt;0,"Profitable",IF(E14&lt;0,"Loss-Making","Break-even"))</x:f>
        <x:v>Profitable</x:v>
      </x:c>
    </x:row>
    <x:row r="15">
      <x:c r="A15" t="str">
        <x:v>Product 014</x:v>
      </x:c>
      <x:c r="B15" s="18" t="n">
        <x:v>2428.4448</x:v>
      </x:c>
      <x:c r="C15" s="18" t="n">
        <x:v>1345.6195266999998</x:v>
      </x:c>
      <x:c r="D15" s="18" t="n">
        <x:v>1283.72985</x:v>
      </x:c>
      <x:c r="E15" s="18" t="n">
        <x:v>61.88967670000007</x:v>
      </x:c>
      <x:c r="F15" s="20" t="n">
        <x:f>IFERROR(E15/D15,0)</x:f>
        <x:v>0.048210826210826264</x:v>
      </x:c>
      <x:c r="G15" s="20" t="n">
        <x:f>IFERROR(E15/C15,0)</x:f>
        <x:v>0.04599344426264268</x:v>
      </x:c>
      <x:c r="H15" t="str">
        <x:f>IF(E15&gt;0,"Profitable",IF(E15&lt;0,"Loss-Making","Break-even"))</x:f>
        <x:v>Profitable</x:v>
      </x:c>
    </x:row>
    <x:row r="16">
      <x:c r="A16" t="str">
        <x:v>Product 015</x:v>
      </x:c>
      <x:c r="B16" s="18" t="n">
        <x:v>2428.4448</x:v>
      </x:c>
      <x:c r="C16" s="18" t="n">
        <x:v>1345.6195266999998</x:v>
      </x:c>
      <x:c r="D16" s="18" t="n">
        <x:v>1283.72985</x:v>
      </x:c>
      <x:c r="E16" s="18" t="n">
        <x:v>61.88967670000007</x:v>
      </x:c>
      <x:c r="F16" s="20" t="n">
        <x:f>IFERROR(E16/D16,0)</x:f>
        <x:v>0.048210826210826264</x:v>
      </x:c>
      <x:c r="G16" s="20" t="n">
        <x:f>IFERROR(E16/C16,0)</x:f>
        <x:v>0.04599344426264268</x:v>
      </x:c>
      <x:c r="H16" t="str">
        <x:f>IF(E16&gt;0,"Profitable",IF(E16&lt;0,"Loss-Making","Break-even"))</x:f>
        <x:v>Profitable</x:v>
      </x:c>
    </x:row>
    <x:row r="17">
      <x:c r="A17" t="str">
        <x:v>Product 016</x:v>
      </x:c>
      <x:c r="B17" s="18" t="n">
        <x:v>2428.4448</x:v>
      </x:c>
      <x:c r="C17" s="18" t="n">
        <x:v>1345.6195266999998</x:v>
      </x:c>
      <x:c r="D17" s="18" t="n">
        <x:v>1283.72985</x:v>
      </x:c>
      <x:c r="E17" s="18" t="n">
        <x:v>61.88967670000007</x:v>
      </x:c>
      <x:c r="F17" s="20" t="n">
        <x:f>IFERROR(E17/D17,0)</x:f>
        <x:v>0.048210826210826264</x:v>
      </x:c>
      <x:c r="G17" s="20" t="n">
        <x:f>IFERROR(E17/C17,0)</x:f>
        <x:v>0.04599344426264268</x:v>
      </x:c>
      <x:c r="H17" t="str">
        <x:f>IF(E17&gt;0,"Profitable",IF(E17&lt;0,"Loss-Making","Break-even"))</x:f>
        <x:v>Profitable</x:v>
      </x:c>
    </x:row>
    <x:row r="18">
      <x:c r="A18" t="str">
        <x:v>Product 017</x:v>
      </x:c>
      <x:c r="B18" s="18" t="n">
        <x:v>2428.4448</x:v>
      </x:c>
      <x:c r="C18" s="18" t="n">
        <x:v>1345.6195266999998</x:v>
      </x:c>
      <x:c r="D18" s="18" t="n">
        <x:v>1283.72985</x:v>
      </x:c>
      <x:c r="E18" s="18" t="n">
        <x:v>61.88967670000007</x:v>
      </x:c>
      <x:c r="F18" s="20" t="n">
        <x:f>IFERROR(E18/D18,0)</x:f>
        <x:v>0.048210826210826264</x:v>
      </x:c>
      <x:c r="G18" s="20" t="n">
        <x:f>IFERROR(E18/C18,0)</x:f>
        <x:v>0.04599344426264268</x:v>
      </x:c>
      <x:c r="H18" t="str">
        <x:f>IF(E18&gt;0,"Profitable",IF(E18&lt;0,"Loss-Making","Break-even"))</x:f>
        <x:v>Profitable</x:v>
      </x:c>
    </x:row>
    <x:row r="19">
      <x:c r="A19" t="str">
        <x:v>Product 018</x:v>
      </x:c>
      <x:c r="B19" s="18" t="n">
        <x:v>2428.4448</x:v>
      </x:c>
      <x:c r="C19" s="18" t="n">
        <x:v>1345.6195266999998</x:v>
      </x:c>
      <x:c r="D19" s="18" t="n">
        <x:v>1283.72985</x:v>
      </x:c>
      <x:c r="E19" s="18" t="n">
        <x:v>61.88967670000007</x:v>
      </x:c>
      <x:c r="F19" s="20" t="n">
        <x:f>IFERROR(E19/D19,0)</x:f>
        <x:v>0.048210826210826264</x:v>
      </x:c>
      <x:c r="G19" s="20" t="n">
        <x:f>IFERROR(E19/C19,0)</x:f>
        <x:v>0.04599344426264268</x:v>
      </x:c>
      <x:c r="H19" t="str">
        <x:f>IF(E19&gt;0,"Profitable",IF(E19&lt;0,"Loss-Making","Break-even"))</x:f>
        <x:v>Profitable</x:v>
      </x:c>
    </x:row>
    <x:row r="20">
      <x:c r="A20" t="str">
        <x:v>Product 019</x:v>
      </x:c>
      <x:c r="B20" s="18" t="n">
        <x:v>3359.34864</x:v>
      </x:c>
      <x:c r="C20" s="18" t="n">
        <x:v>6532.319688</x:v>
      </x:c>
      <x:c r="D20" s="18" t="n">
        <x:v>4196.4141312</x:v>
      </x:c>
      <x:c r="E20" s="18" t="n">
        <x:v>2335.9055568</x:v>
      </x:c>
      <x:c r="F20" s="20" t="n">
        <x:f>IFERROR(E20/D20,0)</x:f>
        <x:v>0.5566432396251673</x:v>
      </x:c>
      <x:c r="G20" s="20" t="n">
        <x:f>IFERROR(E20/C20,0)</x:f>
        <x:v>0.35759204514915344</x:v>
      </x:c>
      <x:c r="H20" t="str">
        <x:f>IF(E20&gt;0,"Profitable",IF(E20&lt;0,"Loss-Making","Break-even"))</x:f>
        <x:v>Profitable</x:v>
      </x:c>
    </x:row>
    <x:row r="21">
      <x:c r="A21" t="str">
        <x:v>Product 020</x:v>
      </x:c>
      <x:c r="B21" s="18" t="n">
        <x:v>3359.34864</x:v>
      </x:c>
      <x:c r="C21" s="18" t="n">
        <x:v>6532.319688</x:v>
      </x:c>
      <x:c r="D21" s="18" t="n">
        <x:v>4196.4141312</x:v>
      </x:c>
      <x:c r="E21" s="18" t="n">
        <x:v>2335.9055568</x:v>
      </x:c>
      <x:c r="F21" s="20" t="n">
        <x:f>IFERROR(E21/D21,0)</x:f>
        <x:v>0.5566432396251673</x:v>
      </x:c>
      <x:c r="G21" s="20" t="n">
        <x:f>IFERROR(E21/C21,0)</x:f>
        <x:v>0.35759204514915344</x:v>
      </x:c>
      <x:c r="H21" t="str">
        <x:f>IF(E21&gt;0,"Profitable",IF(E21&lt;0,"Loss-Making","Break-even"))</x:f>
        <x:v>Profitable</x:v>
      </x:c>
    </x:row>
    <x:row r="22">
      <x:c r="A22" t="str">
        <x:v>Product 021</x:v>
      </x:c>
      <x:c r="B22" s="18" t="n">
        <x:v>3359.34864</x:v>
      </x:c>
      <x:c r="C22" s="18" t="n">
        <x:v>6532.319688</x:v>
      </x:c>
      <x:c r="D22" s="18" t="n">
        <x:v>4196.4141312</x:v>
      </x:c>
      <x:c r="E22" s="18" t="n">
        <x:v>2335.9055568</x:v>
      </x:c>
      <x:c r="F22" s="20" t="n">
        <x:f>IFERROR(E22/D22,0)</x:f>
        <x:v>0.5566432396251673</x:v>
      </x:c>
      <x:c r="G22" s="20" t="n">
        <x:f>IFERROR(E22/C22,0)</x:f>
        <x:v>0.35759204514915344</x:v>
      </x:c>
      <x:c r="H22" t="str">
        <x:f>IF(E22&gt;0,"Profitable",IF(E22&lt;0,"Loss-Making","Break-even"))</x:f>
        <x:v>Profitable</x:v>
      </x:c>
    </x:row>
    <x:row r="23">
      <x:c r="A23" t="str">
        <x:v>Product 022</x:v>
      </x:c>
      <x:c r="B23" s="18" t="n">
        <x:v>3359.34864</x:v>
      </x:c>
      <x:c r="C23" s="18" t="n">
        <x:v>6532.319688</x:v>
      </x:c>
      <x:c r="D23" s="18" t="n">
        <x:v>4196.4141312</x:v>
      </x:c>
      <x:c r="E23" s="18" t="n">
        <x:v>2335.9055568</x:v>
      </x:c>
      <x:c r="F23" s="20" t="n">
        <x:f>IFERROR(E23/D23,0)</x:f>
        <x:v>0.5566432396251673</x:v>
      </x:c>
      <x:c r="G23" s="20" t="n">
        <x:f>IFERROR(E23/C23,0)</x:f>
        <x:v>0.35759204514915344</x:v>
      </x:c>
      <x:c r="H23" t="str">
        <x:f>IF(E23&gt;0,"Profitable",IF(E23&lt;0,"Loss-Making","Break-even"))</x:f>
        <x:v>Profitable</x:v>
      </x:c>
    </x:row>
    <x:row r="24">
      <x:c r="A24" t="str">
        <x:v>Product 023</x:v>
      </x:c>
      <x:c r="B24" s="18" t="n">
        <x:v>1618.9632000000001</x:v>
      </x:c>
      <x:c r="C24" s="18" t="n">
        <x:v>4237.990886</x:v>
      </x:c>
      <x:c r="D24" s="18" t="n">
        <x:v>2696.491008</x:v>
      </x:c>
      <x:c r="E24" s="18" t="n">
        <x:v>1541.499878</x:v>
      </x:c>
      <x:c r="F24" s="20" t="n">
        <x:f>IFERROR(E24/D24,0)</x:f>
        <x:v>0.5716688368055556</x:v>
      </x:c>
      <x:c r="G24" s="20" t="n">
        <x:f>IFERROR(E24/C24,0)</x:f>
        <x:v>0.3637336463115745</x:v>
      </x:c>
      <x:c r="H24" t="str">
        <x:f>IF(E24&gt;0,"Profitable",IF(E24&lt;0,"Loss-Making","Break-even"))</x:f>
        <x:v>Profitable</x:v>
      </x:c>
    </x:row>
    <x:row r="25">
      <x:c r="A25" t="str">
        <x:v>Product 024</x:v>
      </x:c>
      <x:c r="B25" s="18" t="n">
        <x:v>728.53344</x:v>
      </x:c>
      <x:c r="C25" s="18" t="n">
        <x:v>1574.7086160000001</x:v>
      </x:c>
      <x:c r="D25" s="18" t="n">
        <x:v>1042.783632</x:v>
      </x:c>
      <x:c r="E25" s="18" t="n">
        <x:v>531.924984</x:v>
      </x:c>
      <x:c r="F25" s="20" t="n">
        <x:f>IFERROR(E25/D25,0)</x:f>
        <x:v>0.5101010101010102</x:v>
      </x:c>
      <x:c r="G25" s="20" t="n">
        <x:f>IFERROR(E25/C25,0)</x:f>
        <x:v>0.3377926421404682</x:v>
      </x:c>
      <x:c r="H25" t="str">
        <x:f>IF(E25&gt;0,"Profitable",IF(E25&lt;0,"Loss-Making","Break-even"))</x:f>
        <x:v>Profitable</x:v>
      </x:c>
    </x:row>
    <x:row r="26">
      <x:c r="A26" t="str">
        <x:v>Product 025</x:v>
      </x:c>
      <x:c r="B26" s="18" t="n">
        <x:v>809.4816000000001</x:v>
      </x:c>
      <x:c r="C26" s="18" t="n">
        <x:v>1746.75036</x:v>
      </x:c>
      <x:c r="D26" s="18" t="n">
        <x:v>1158.6484799999998</x:v>
      </x:c>
      <x:c r="E26" s="18" t="n">
        <x:v>588.1018799999999</x:v>
      </x:c>
      <x:c r="F26" s="20" t="n">
        <x:f>IFERROR(E26/D26,0)</x:f>
        <x:v>0.5075757575757576</x:v>
      </x:c>
      <x:c r="G26" s="20" t="n">
        <x:f>IFERROR(E26/C26,0)</x:f>
        <x:v>0.3366834170854271</x:v>
      </x:c>
      <x:c r="H26" t="str">
        <x:f>IF(E26&gt;0,"Profitable",IF(E26&lt;0,"Loss-Making","Break-even"))</x:f>
        <x:v>Profitable</x:v>
      </x:c>
    </x:row>
    <x:row r="27">
      <x:c r="A27" t="str">
        <x:v>Product 026</x:v>
      </x:c>
      <x:c r="B27" s="18" t="n">
        <x:v>1740.38544</x:v>
      </x:c>
      <x:c r="C27" s="18" t="n">
        <x:v>3632.187432</x:v>
      </x:c>
      <x:c r="D27" s="18" t="n">
        <x:v>2491.094232</x:v>
      </x:c>
      <x:c r="E27" s="18" t="n">
        <x:v>1141.0932</x:v>
      </x:c>
      <x:c r="F27" s="20" t="n">
        <x:f>IFERROR(E27/D27,0)</x:f>
        <x:v>0.4580690627202255</x:v>
      </x:c>
      <x:c r="G27" s="20" t="n">
        <x:f>IFERROR(E27/C27,0)</x:f>
        <x:v>0.3141614306428226</x:v>
      </x:c>
      <x:c r="H27" t="str">
        <x:f>IF(E27&gt;0,"Profitable",IF(E27&lt;0,"Loss-Making","Break-even"))</x:f>
        <x:v>Profitable</x:v>
      </x:c>
    </x:row>
    <x:row r="28">
      <x:c r="A28" t="str">
        <x:v>Product 027</x:v>
      </x:c>
      <x:c r="B28" s="18" t="n">
        <x:v>930.9038400000001</x:v>
      </x:c>
      <x:c r="C28" s="18" t="n">
        <x:v>2004.812976</x:v>
      </x:c>
      <x:c r="D28" s="18" t="n">
        <x:v>1332.4457519999999</x:v>
      </x:c>
      <x:c r="E28" s="18" t="n">
        <x:v>672.367224</x:v>
      </x:c>
      <x:c r="F28" s="20" t="n">
        <x:f>IFERROR(E28/D28,0)</x:f>
        <x:v>0.5046113306982872</x:v>
      </x:c>
      <x:c r="G28" s="20" t="n">
        <x:f>IFERROR(E28/C28,0)</x:f>
        <x:v>0.3353765323992995</x:v>
      </x:c>
      <x:c r="H28" t="str">
        <x:f>IF(E28&gt;0,"Profitable",IF(E28&lt;0,"Loss-Making","Break-even"))</x:f>
        <x:v>Profitable</x:v>
      </x:c>
    </x:row>
    <x:row r="29">
      <x:c r="A29" t="str">
        <x:v>Product 028</x:v>
      </x:c>
      <x:c r="B29" s="18" t="n">
        <x:v>930.9038400000001</x:v>
      </x:c>
      <x:c r="C29" s="18" t="n">
        <x:v>2004.812976</x:v>
      </x:c>
      <x:c r="D29" s="18" t="n">
        <x:v>1332.4457519999999</x:v>
      </x:c>
      <x:c r="E29" s="18" t="n">
        <x:v>672.367224</x:v>
      </x:c>
      <x:c r="F29" s="20" t="n">
        <x:f>IFERROR(E29/D29,0)</x:f>
        <x:v>0.5046113306982872</x:v>
      </x:c>
      <x:c r="G29" s="20" t="n">
        <x:f>IFERROR(E29/C29,0)</x:f>
        <x:v>0.3353765323992995</x:v>
      </x:c>
      <x:c r="H29" t="str">
        <x:f>IF(E29&gt;0,"Profitable",IF(E29&lt;0,"Loss-Making","Break-even"))</x:f>
        <x:v>Profitable</x:v>
      </x:c>
    </x:row>
    <x:row r="30">
      <x:c r="A30" t="str">
        <x:v>Product 029</x:v>
      </x:c>
      <x:c r="B30" s="18" t="n">
        <x:v>1983.22992</x:v>
      </x:c>
      <x:c r="C30" s="18" t="n">
        <x:v>4062.3649389999996</x:v>
      </x:c>
      <x:c r="D30" s="18" t="n">
        <x:v>2838.688776</x:v>
      </x:c>
      <x:c r="E30" s="18" t="n">
        <x:v>1223.676163</x:v>
      </x:c>
      <x:c r="F30" s="20" t="n">
        <x:f>IFERROR(E30/D30,0)</x:f>
        <x:v>0.4310709132137704</x:v>
      </x:c>
      <x:c r="G30" s="20" t="n">
        <x:f>IFERROR(E30/C30,0)</x:f>
        <x:v>0.30122260835118936</x:v>
      </x:c>
      <x:c r="H30" t="str">
        <x:f>IF(E30&gt;0,"Profitable",IF(E30&lt;0,"Loss-Making","Break-even"))</x:f>
        <x:v>Profitable</x:v>
      </x:c>
    </x:row>
    <x:row r="31">
      <x:c r="A31" t="str">
        <x:v>Product 030</x:v>
      </x:c>
      <x:c r="B31" s="18" t="n">
        <x:v>1740.38544</x:v>
      </x:c>
      <x:c r="C31" s="18" t="n">
        <x:v>3632.187432</x:v>
      </x:c>
      <x:c r="D31" s="18" t="n">
        <x:v>2491.094232</x:v>
      </x:c>
      <x:c r="E31" s="18" t="n">
        <x:v>1141.0932</x:v>
      </x:c>
      <x:c r="F31" s="20" t="n">
        <x:f>IFERROR(E31/D31,0)</x:f>
        <x:v>0.4580690627202255</x:v>
      </x:c>
      <x:c r="G31" s="20" t="n">
        <x:f>IFERROR(E31/C31,0)</x:f>
        <x:v>0.3141614306428226</x:v>
      </x:c>
      <x:c r="H31" t="str">
        <x:f>IF(E31&gt;0,"Profitable",IF(E31&lt;0,"Loss-Making","Break-even"))</x:f>
        <x:v>Profitable</x:v>
      </x:c>
    </x:row>
    <x:row r="32">
      <x:c r="A32" t="str">
        <x:v>Product 031</x:v>
      </x:c>
      <x:c r="B32" s="18" t="n">
        <x:v>1335.64464</x:v>
      </x:c>
      <x:c r="C32" s="18" t="n">
        <x:v>3679.5866879999994</x:v>
      </x:c>
      <x:c r="D32" s="18" t="n">
        <x:v>2224.6050816</x:v>
      </x:c>
      <x:c r="E32" s="18" t="n">
        <x:v>1454.9816064</x:v>
      </x:c>
      <x:c r="F32" s="20" t="n">
        <x:f>IFERROR(E32/D32,0)</x:f>
        <x:v>0.654040404040404</x:v>
      </x:c>
      <x:c r="G32" s="20" t="n">
        <x:f>IFERROR(E32/C32,0)</x:f>
        <x:v>0.3954198473282443</x:v>
      </x:c>
      <x:c r="H32" t="str">
        <x:f>IF(E32&gt;0,"Profitable",IF(E32&lt;0,"Loss-Making","Break-even"))</x:f>
        <x:v>Profitable</x:v>
      </x:c>
    </x:row>
    <x:row r="33">
      <x:c r="A33" t="str">
        <x:v>Product 032</x:v>
      </x:c>
      <x:c r="B33" s="18" t="n">
        <x:v>1497.54096</x:v>
      </x:c>
      <x:c r="C33" s="18" t="n">
        <x:v>4125.4908</x:v>
      </x:c>
      <x:c r="D33" s="18" t="n">
        <x:v>2494.2541824</x:v>
      </x:c>
      <x:c r="E33" s="18" t="n">
        <x:v>1631.2366175999998</x:v>
      </x:c>
      <x:c r="F33" s="20" t="n">
        <x:f>IFERROR(E33/D33,0)</x:f>
        <x:v>0.6539977477477477</x:v>
      </x:c>
      <x:c r="G33" s="20" t="n">
        <x:f>IFERROR(E33/C33,0)</x:f>
        <x:v>0.3954042553191489</x:v>
      </x:c>
      <x:c r="H33" t="str">
        <x:f>IF(E33&gt;0,"Profitable",IF(E33&lt;0,"Loss-Making","Break-even"))</x:f>
        <x:v>Profitable</x:v>
      </x:c>
    </x:row>
    <x:row r="34">
      <x:c r="A34" t="str">
        <x:v>Product 033</x:v>
      </x:c>
      <x:c r="B34" s="18" t="n">
        <x:v>1133.27424</x:v>
      </x:c>
      <x:c r="C34" s="18" t="n">
        <x:v>3145.906176</x:v>
      </x:c>
      <x:c r="D34" s="18" t="n">
        <x:v>1887.5437055999998</x:v>
      </x:c>
      <x:c r="E34" s="18" t="n">
        <x:v>1258.3624704</x:v>
      </x:c>
      <x:c r="F34" s="20" t="n">
        <x:f>IFERROR(E34/D34,0)</x:f>
        <x:v>0.6666666666666666</x:v>
      </x:c>
      <x:c r="G34" s="20" t="n">
        <x:f>IFERROR(E34/C34,0)</x:f>
        <x:v>0.39999999999999997</x:v>
      </x:c>
      <x:c r="H34" t="str">
        <x:f>IF(E34&gt;0,"Profitable",IF(E34&lt;0,"Loss-Making","Break-even"))</x:f>
        <x:v>Profitable</x:v>
      </x:c>
    </x:row>
    <x:row r="35">
      <x:c r="A35" t="str">
        <x:v>Product 034</x:v>
      </x:c>
      <x:c r="B35" s="18" t="n">
        <x:v>1335.64464</x:v>
      </x:c>
      <x:c r="C35" s="18" t="n">
        <x:v>3676.075632</x:v>
      </x:c>
      <x:c r="D35" s="18" t="n">
        <x:v>2224.6050816</x:v>
      </x:c>
      <x:c r="E35" s="18" t="n">
        <x:v>1451.4705503999999</x:v>
      </x:c>
      <x:c r="F35" s="20" t="n">
        <x:f>IFERROR(E35/D35,0)</x:f>
        <x:v>0.6524621212121211</x:v>
      </x:c>
      <x:c r="G35" s="20" t="n">
        <x:f>IFERROR(E35/C35,0)</x:f>
        <x:v>0.3948424068767908</x:v>
      </x:c>
      <x:c r="H35" t="str">
        <x:f>IF(E35&gt;0,"Profitable",IF(E35&lt;0,"Loss-Making","Break-even"))</x:f>
        <x:v>Profitable</x:v>
      </x:c>
    </x:row>
    <x:row r="36">
      <x:c r="A36" t="str">
        <x:v>Product 035</x:v>
      </x:c>
      <x:c r="B36" s="18" t="n">
        <x:v>1538.01504</x:v>
      </x:c>
      <x:c r="C36" s="18" t="n">
        <x:v>4016.7943579999996</x:v>
      </x:c>
      <x:c r="D36" s="18" t="n">
        <x:v>2561.6664576</x:v>
      </x:c>
      <x:c r="E36" s="18" t="n">
        <x:v>1455.1279003999998</x:v>
      </x:c>
      <x:c r="F36" s="20" t="n">
        <x:f>IFERROR(E36/D36,0)</x:f>
        <x:v>0.5680395650584795</x:v>
      </x:c>
      <x:c r="G36" s="20" t="n">
        <x:f>IFERROR(E36/C36,0)</x:f>
        <x:v>0.36226098991149797</x:v>
      </x:c>
      <x:c r="H36" t="str">
        <x:f>IF(E36&gt;0,"Profitable",IF(E36&lt;0,"Loss-Making","Break-even"))</x:f>
        <x:v>Profitable</x:v>
      </x:c>
    </x:row>
    <x:row r="37">
      <x:c r="A37" t="str">
        <x:v>Product 036</x:v>
      </x:c>
      <x:c r="B37" s="18" t="n">
        <x:v>1214.2224</x:v>
      </x:c>
      <x:c r="C37" s="18" t="n">
        <x:v>3367.1027039999994</x:v>
      </x:c>
      <x:c r="D37" s="18" t="n">
        <x:v>2022.368256</x:v>
      </x:c>
      <x:c r="E37" s="18" t="n">
        <x:v>1344.734448</x:v>
      </x:c>
      <x:c r="F37" s="20" t="n">
        <x:f>IFERROR(E37/D37,0)</x:f>
        <x:v>0.6649305555555556</x:v>
      </x:c>
      <x:c r="G37" s="20" t="n">
        <x:f>IFERROR(E37/C37,0)</x:f>
        <x:v>0.39937434827945784</x:v>
      </x:c>
      <x:c r="H37" t="str">
        <x:f>IF(E37&gt;0,"Profitable",IF(E37&lt;0,"Loss-Making","Break-even"))</x:f>
        <x:v>Profitable</x:v>
      </x:c>
    </x:row>
    <x:row r="38">
      <x:c r="A38" t="str">
        <x:v>Product 037</x:v>
      </x:c>
      <x:c r="B38" s="18" t="n">
        <x:v>1497.54096</x:v>
      </x:c>
      <x:c r="C38" s="18" t="n">
        <x:v>4129.001856</x:v>
      </x:c>
      <x:c r="D38" s="18" t="n">
        <x:v>2494.2541824</x:v>
      </x:c>
      <x:c r="E38" s="18" t="n">
        <x:v>1634.7476735999999</x:v>
      </x:c>
      <x:c r="F38" s="20" t="n">
        <x:f>IFERROR(E38/D38,0)</x:f>
        <x:v>0.6554054054054054</x:v>
      </x:c>
      <x:c r="G38" s="20" t="n">
        <x:f>IFERROR(E38/C38,0)</x:f>
        <x:v>0.39591836734693875</x:v>
      </x:c>
      <x:c r="H38" t="str">
        <x:f>IF(E38&gt;0,"Profitable",IF(E38&lt;0,"Loss-Making","Break-even"))</x:f>
        <x:v>Profitable</x:v>
      </x:c>
    </x:row>
    <x:row r="39">
      <x:c r="A39" t="str">
        <x:v>Product 038</x:v>
      </x:c>
      <x:c r="B39" s="18" t="n">
        <x:v>2914.13376</x:v>
      </x:c>
      <x:c r="C39" s="18" t="n">
        <x:v>5638.755936</x:v>
      </x:c>
      <x:c r="D39" s="18" t="n">
        <x:v>3640.2628608</x:v>
      </x:c>
      <x:c r="E39" s="18" t="n">
        <x:v>1998.4930751999998</x:v>
      </x:c>
      <x:c r="F39" s="20" t="n">
        <x:f>IFERROR(E39/D39,0)</x:f>
        <x:v>0.5489969135802468</x:v>
      </x:c>
      <x:c r="G39" s="20" t="n">
        <x:f>IFERROR(E39/C39,0)</x:f>
        <x:v>0.35442092154420923</x:v>
      </x:c>
      <x:c r="H39" t="str">
        <x:f>IF(E39&gt;0,"Profitable",IF(E39&lt;0,"Loss-Making","Break-even"))</x:f>
        <x:v>Profitable</x:v>
      </x:c>
    </x:row>
    <x:row r="40">
      <x:c r="A40" t="str">
        <x:v>Product 039</x:v>
      </x:c>
      <x:c r="B40" s="18" t="n">
        <x:v>3237.9264000000003</x:v>
      </x:c>
      <x:c r="C40" s="18" t="n">
        <x:v>6270.746015999999</x:v>
      </x:c>
      <x:c r="D40" s="18" t="n">
        <x:v>4044.736512</x:v>
      </x:c>
      <x:c r="E40" s="18" t="n">
        <x:v>2226.0095039999997</x:v>
      </x:c>
      <x:c r="F40" s="20" t="n">
        <x:f>IFERROR(E40/D40,0)</x:f>
        <x:v>0.5503472222222221</x:v>
      </x:c>
      <x:c r="G40" s="20" t="n">
        <x:f>IFERROR(E40/C40,0)</x:f>
        <x:v>0.35498320268757</x:v>
      </x:c>
      <x:c r="H40" t="str">
        <x:f>IF(E40&gt;0,"Profitable",IF(E40&lt;0,"Loss-Making","Break-even"))</x:f>
        <x:v>Profitable</x:v>
      </x:c>
    </x:row>
    <x:row r="41">
      <x:c r="A41" t="str">
        <x:v>Product 040</x:v>
      </x:c>
      <x:c r="B41" s="18" t="n">
        <x:v>2914.13376</x:v>
      </x:c>
      <x:c r="C41" s="18" t="n">
        <x:v>5647.533576</x:v>
      </x:c>
      <x:c r="D41" s="18" t="n">
        <x:v>3640.2628608</x:v>
      </x:c>
      <x:c r="E41" s="18" t="n">
        <x:v>2007.2707151999998</x:v>
      </x:c>
      <x:c r="F41" s="20" t="n">
        <x:f>IFERROR(E41/D41,0)</x:f>
        <x:v>0.5514081790123456</x:v>
      </x:c>
      <x:c r="G41" s="20" t="n">
        <x:f>IFERROR(E41/C41,0)</x:f>
        <x:v>0.35542430836182776</x:v>
      </x:c>
      <x:c r="H41" t="str">
        <x:f>IF(E41&gt;0,"Profitable",IF(E41&lt;0,"Loss-Making","Break-even"))</x:f>
        <x:v>Profitable</x:v>
      </x:c>
    </x:row>
    <x:row r="42">
      <x:c r="A42" t="str">
        <x:v>Product 041</x:v>
      </x:c>
      <x:c r="B42" s="18" t="n">
        <x:v>3237.9264000000003</x:v>
      </x:c>
      <x:c r="C42" s="18" t="n">
        <x:v>6270.746015999999</x:v>
      </x:c>
      <x:c r="D42" s="18" t="n">
        <x:v>4044.736512</x:v>
      </x:c>
      <x:c r="E42" s="18" t="n">
        <x:v>2226.0095039999997</x:v>
      </x:c>
      <x:c r="F42" s="20" t="n">
        <x:f>IFERROR(E42/D42,0)</x:f>
        <x:v>0.5503472222222221</x:v>
      </x:c>
      <x:c r="G42" s="20" t="n">
        <x:f>IFERROR(E42/C42,0)</x:f>
        <x:v>0.35498320268757</x:v>
      </x:c>
      <x:c r="H42" t="str">
        <x:f>IF(E42&gt;0,"Profitable",IF(E42&lt;0,"Loss-Making","Break-even"))</x:f>
        <x:v>Profitable</x:v>
      </x:c>
    </x:row>
    <x:row r="43">
      <x:c r="A43" t="str">
        <x:v>Product 042</x:v>
      </x:c>
      <x:c r="B43" s="18" t="n">
        <x:v>516.04452</x:v>
      </x:c>
      <x:c r="C43" s="18" t="n">
        <x:v>5424.58152</x:v>
      </x:c>
      <x:c r="D43" s="18" t="n">
        <x:v>2641.191876</x:v>
      </x:c>
      <x:c r="E43" s="18" t="n">
        <x:v>2783.389644</x:v>
      </x:c>
      <x:c r="F43" s="20" t="n">
        <x:f>IFERROR(E43/D43,0)</x:f>
        <x:v>1.0538384845463609</x:v>
      </x:c>
      <x:c r="G43" s="20" t="n">
        <x:f>IFERROR(E43/C43,0)</x:f>
        <x:v>0.5131067961165049</x:v>
      </x:c>
      <x:c r="H43" t="str">
        <x:f>IF(E43&gt;0,"Profitable",IF(E43&lt;0,"Loss-Making","Break-even"))</x:f>
        <x:v>Profitable</x:v>
      </x:c>
    </x:row>
    <x:row r="44">
      <x:c r="A44" t="str">
        <x:v>Product 043</x:v>
      </x:c>
      <x:c r="B44" s="18" t="n">
        <x:v>576.75564</x:v>
      </x:c>
      <x:c r="C44" s="18" t="n">
        <x:v>6030.2386799999995</x:v>
      </x:c>
      <x:c r="D44" s="18" t="n">
        <x:v>2951.9203319999997</x:v>
      </x:c>
      <x:c r="E44" s="18" t="n">
        <x:v>3078.3183479999993</x:v>
      </x:c>
      <x:c r="F44" s="20" t="n">
        <x:f>IFERROR(E44/D44,0)</x:f>
        <x:v>1.0428189116859945</x:v>
      </x:c>
      <x:c r="G44" s="20" t="n">
        <x:f>IFERROR(E44/C44,0)</x:f>
        <x:v>0.5104803493449781</x:v>
      </x:c>
      <x:c r="H44" t="str">
        <x:f>IF(E44&gt;0,"Profitable",IF(E44&lt;0,"Loss-Making","Break-even"))</x:f>
        <x:v>Profitable</x:v>
      </x:c>
    </x:row>
    <x:row r="45">
      <x:c r="A45" t="str">
        <x:v>Product 044</x:v>
      </x:c>
      <x:c r="B45" s="18" t="n">
        <x:v>576.75564</x:v>
      </x:c>
      <x:c r="C45" s="18" t="n">
        <x:v>6030.2386799999995</x:v>
      </x:c>
      <x:c r="D45" s="18" t="n">
        <x:v>2951.9203319999997</x:v>
      </x:c>
      <x:c r="E45" s="18" t="n">
        <x:v>3078.3183479999993</x:v>
      </x:c>
      <x:c r="F45" s="20" t="n">
        <x:f>IFERROR(E45/D45,0)</x:f>
        <x:v>1.0428189116859945</x:v>
      </x:c>
      <x:c r="G45" s="20" t="n">
        <x:f>IFERROR(E45/C45,0)</x:f>
        <x:v>0.5104803493449781</x:v>
      </x:c>
      <x:c r="H45" t="str">
        <x:f>IF(E45&gt;0,"Profitable",IF(E45&lt;0,"Loss-Making","Break-even"))</x:f>
        <x:v>Profitable</x:v>
      </x:c>
    </x:row>
    <x:row r="46">
      <x:c r="A46" t="str">
        <x:v>Product 045</x:v>
      </x:c>
      <x:c r="B46" s="18" t="n">
        <x:v>607.1112</x:v>
      </x:c>
      <x:c r="C46" s="18" t="n">
        <x:v>6359.40018</x:v>
      </x:c>
      <x:c r="D46" s="18" t="n">
        <x:v>3107.2845599999996</x:v>
      </x:c>
      <x:c r="E46" s="18" t="n">
        <x:v>3252.1156199999996</x:v>
      </x:c>
      <x:c r="F46" s="20" t="n">
        <x:f>IFERROR(E46/D46,0)</x:f>
        <x:v>1.0466101694915255</x:v>
      </x:c>
      <x:c r="G46" s="20" t="n">
        <x:f>IFERROR(E46/C46,0)</x:f>
        <x:v>0.5113871635610766</x:v>
      </x:c>
      <x:c r="H46" t="str">
        <x:f>IF(E46&gt;0,"Profitable",IF(E46&lt;0,"Loss-Making","Break-even"))</x:f>
        <x:v>Profitable</x:v>
      </x:c>
    </x:row>
    <x:row r="47">
      <x:c r="A47" t="str">
        <x:v>Product 046</x:v>
      </x:c>
      <x:c r="B47" s="18" t="n">
        <x:v>1122.2450532</x:v>
      </x:c>
      <x:c r="C47" s="18" t="n">
        <x:v>11438.3986985</x:v>
      </x:c>
      <x:c r="D47" s="18" t="n">
        <x:v>5292.477087089</x:v>
      </x:c>
      <x:c r="E47" s="18" t="n">
        <x:v>6145.9216114109995</x:v>
      </x:c>
      <x:c r="F47" s="20" t="n">
        <x:f>IFERROR(E47/D47,0)</x:f>
        <x:v>1.161256158558339</x:v>
      </x:c>
      <x:c r="G47" s="20" t="n">
        <x:f>IFERROR(E47/C47,0)</x:f>
        <x:v>0.5373061189252792</x:v>
      </x:c>
      <x:c r="H47" t="str">
        <x:f>IF(E47&gt;0,"Profitable",IF(E47&lt;0,"Loss-Making","Break-even"))</x:f>
        <x:v>Profitable</x:v>
      </x:c>
    </x:row>
    <x:row r="48">
      <x:c r="A48" t="str">
        <x:v>Product 047</x:v>
      </x:c>
      <x:c r="B48" s="18" t="n">
        <x:v>151.7778</x:v>
      </x:c>
      <x:c r="C48" s="18" t="n">
        <x:v>1097.205</x:v>
      </x:c>
      <x:c r="D48" s="18" t="n">
        <x:v>693.4335599999999</x:v>
      </x:c>
      <x:c r="E48" s="18" t="n">
        <x:v>403.77144</x:v>
      </x:c>
      <x:c r="F48" s="20" t="n">
        <x:f>IFERROR(E48/D48,0)</x:f>
        <x:v>0.5822784810126582</x:v>
      </x:c>
      <x:c r="G48" s="20" t="n">
        <x:f>IFERROR(E48/C48,0)</x:f>
        <x:v>0.368</x:v>
      </x:c>
      <x:c r="H48" t="str">
        <x:f>IF(E48&gt;0,"Profitable",IF(E48&lt;0,"Loss-Making","Break-even"))</x:f>
        <x:v>Profitable</x:v>
      </x:c>
    </x:row>
    <x:row r="49">
      <x:c r="A49" t="str">
        <x:v>Product 048</x:v>
      </x:c>
      <x:c r="B49" s="18" t="n">
        <x:v>516.04452</x:v>
      </x:c>
      <x:c r="C49" s="18" t="n">
        <x:v>5027.612751</x:v>
      </x:c>
      <x:c r="D49" s="18" t="n">
        <x:v>2401.0722191</x:v>
      </x:c>
      <x:c r="E49" s="18" t="n">
        <x:v>2626.5405318999997</x:v>
      </x:c>
      <x:c r="F49" s="20" t="n">
        <x:f>IFERROR(E49/D49,0)</x:f>
        <x:v>1.0939031783410966</x:v>
      </x:c>
      <x:c r="G49" s="20" t="n">
        <x:f>IFERROR(E49/C49,0)</x:f>
        <x:v>0.522422999141606</x:v>
      </x:c>
      <x:c r="H49" t="str">
        <x:f>IF(E49&gt;0,"Profitable",IF(E49&lt;0,"Loss-Making","Break-even"))</x:f>
        <x:v>Profitable</x:v>
      </x:c>
    </x:row>
    <x:row r="50">
      <x:c r="A50" t="str">
        <x:v>Product 049</x:v>
      </x:c>
      <x:c r="B50" s="18" t="n">
        <x:v>364.26672</x:v>
      </x:c>
      <x:c r="C50" s="18" t="n">
        <x:v>3283.0568009999997</x:v>
      </x:c>
      <x:c r="D50" s="18" t="n">
        <x:v>1694.8745075999998</x:v>
      </x:c>
      <x:c r="E50" s="18" t="n">
        <x:v>1588.1822933999997</x:v>
      </x:c>
      <x:c r="F50" s="20" t="n">
        <x:f>IFERROR(E50/D50,0)</x:f>
        <x:v>0.9370500802734476</x:v>
      </x:c>
      <x:c r="G50" s="20" t="n">
        <x:f>IFERROR(E50/C50,0)</x:f>
        <x:v>0.48375108615734236</x:v>
      </x:c>
      <x:c r="H50" t="str">
        <x:f>IF(E50&gt;0,"Profitable",IF(E50&lt;0,"Loss-Making","Break-even"))</x:f>
        <x:v>Profitable</x:v>
      </x:c>
    </x:row>
    <x:row r="51">
      <x:c r="A51" t="str">
        <x:v>Product 050</x:v>
      </x:c>
      <x:c r="B51" s="18" t="n">
        <x:v>516.04452</x:v>
      </x:c>
      <x:c r="C51" s="18" t="n">
        <x:v>5027.612751</x:v>
      </x:c>
      <x:c r="D51" s="18" t="n">
        <x:v>2401.0722191</x:v>
      </x:c>
      <x:c r="E51" s="18" t="n">
        <x:v>2626.5405318999997</x:v>
      </x:c>
      <x:c r="F51" s="20" t="n">
        <x:f>IFERROR(E51/D51,0)</x:f>
        <x:v>1.0939031783410966</x:v>
      </x:c>
      <x:c r="G51" s="20" t="n">
        <x:f>IFERROR(E51/C51,0)</x:f>
        <x:v>0.522422999141606</x:v>
      </x:c>
      <x:c r="H51" t="str">
        <x:f>IF(E51&gt;0,"Profitable",IF(E51&lt;0,"Loss-Making","Break-even"))</x:f>
        <x:v>Profitable</x:v>
      </x:c>
    </x:row>
    <x:row r="52">
      <x:c r="A52" t="str">
        <x:v>Product 051</x:v>
      </x:c>
      <x:c r="B52" s="18" t="n">
        <x:v>364.26672</x:v>
      </x:c>
      <x:c r="C52" s="18" t="n">
        <x:v>3282.83736</x:v>
      </x:c>
      <x:c r="D52" s="18" t="n">
        <x:v>1694.8745075999998</x:v>
      </x:c>
      <x:c r="E52" s="18" t="n">
        <x:v>1587.9628524</x:v>
      </x:c>
      <x:c r="F52" s="20" t="n">
        <x:f>IFERROR(E52/D52,0)</x:f>
        <x:v>0.9369206069708427</x:v>
      </x:c>
      <x:c r="G52" s="20" t="n">
        <x:f>IFERROR(E52/C52,0)</x:f>
        <x:v>0.48371657754010694</x:v>
      </x:c>
      <x:c r="H52" t="str">
        <x:f>IF(E52&gt;0,"Profitable",IF(E52&lt;0,"Loss-Making","Break-even"))</x:f>
        <x:v>Profitable</x:v>
      </x:c>
    </x:row>
    <x:row r="53">
      <x:c r="A53" t="str">
        <x:v>Product 052</x:v>
      </x:c>
      <x:c r="B53" s="18" t="n">
        <x:v>1123.15572</x:v>
      </x:c>
      <x:c r="C53" s="18" t="n">
        <x:v>11446.04256</x:v>
      </x:c>
      <x:c r="D53" s="18" t="n">
        <x:v>5295.1479035</x:v>
      </x:c>
      <x:c r="E53" s="18" t="n">
        <x:v>6150.894656500001</x:v>
      </x:c>
      <x:c r="F53" s="20" t="n">
        <x:f>IFERROR(E53/D53,0)</x:f>
        <x:v>1.1616096034700687</x:v>
      </x:c>
      <x:c r="G53" s="20" t="n">
        <x:f>IFERROR(E53/C53,0)</x:f>
        <x:v>0.53738177402863</x:v>
      </x:c>
      <x:c r="H53" t="str">
        <x:f>IF(E53&gt;0,"Profitable",IF(E53&lt;0,"Loss-Making","Break-even"))</x:f>
        <x:v>Profitable</x:v>
      </x:c>
    </x:row>
    <x:row r="54">
      <x:c r="A54" t="str">
        <x:v>Product 053</x:v>
      </x:c>
      <x:c r="B54" s="18" t="n">
        <x:v>789.24456</x:v>
      </x:c>
      <x:c r="C54" s="18" t="n">
        <x:v>7911.067490999999</x:v>
      </x:c>
      <x:c r="D54" s="18" t="n">
        <x:v>3719.963832</x:v>
      </x:c>
      <x:c r="E54" s="18" t="n">
        <x:v>4191.103658999999</x:v>
      </x:c>
      <x:c r="F54" s="20" t="n">
        <x:f>IFERROR(E54/D54,0)</x:f>
        <x:v>1.126651722510618</x:v>
      </x:c>
      <x:c r="G54" s="20" t="n">
        <x:f>IFERROR(E54/C54,0)</x:f>
        <x:v>0.529777259992788</x:v>
      </x:c>
      <x:c r="H54" t="str">
        <x:f>IF(E54&gt;0,"Profitable",IF(E54&lt;0,"Loss-Making","Break-even"))</x:f>
        <x:v>Profitable</x:v>
      </x:c>
    </x:row>
    <x:row r="55">
      <x:c r="A55" t="str">
        <x:v>Product 054</x:v>
      </x:c>
      <x:c r="B55" s="18" t="n">
        <x:v>789.24456</x:v>
      </x:c>
      <x:c r="C55" s="18" t="n">
        <x:v>7911.067490999999</x:v>
      </x:c>
      <x:c r="D55" s="18" t="n">
        <x:v>3727.9514844</x:v>
      </x:c>
      <x:c r="E55" s="18" t="n">
        <x:v>4183.116006599999</x:v>
      </x:c>
      <x:c r="F55" s="20" t="n">
        <x:f>IFERROR(E55/D55,0)</x:f>
        <x:v>1.122095076640531</x:v>
      </x:c>
      <x:c r="G55" s="20" t="n">
        <x:f>IFERROR(E55/C55,0)</x:f>
        <x:v>0.5287675792627111</x:v>
      </x:c>
      <x:c r="H55" t="str">
        <x:f>IF(E55&gt;0,"Profitable",IF(E55&lt;0,"Loss-Making","Break-even"))</x:f>
        <x:v>Profitable</x:v>
      </x:c>
    </x:row>
    <x:row r="56">
      <x:c r="A56" t="str">
        <x:v>Product 055</x:v>
      </x:c>
      <x:c r="B56" s="18" t="n">
        <x:v>1062.4446</x:v>
      </x:c>
      <x:c r="C56" s="18" t="n">
        <x:v>10840.3854</x:v>
      </x:c>
      <x:c r="D56" s="18" t="n">
        <x:v>5005.083474999999</x:v>
      </x:c>
      <x:c r="E56" s="18" t="n">
        <x:v>5835.301925</x:v>
      </x:c>
      <x:c r="F56" s="20" t="n">
        <x:f>IFERROR(E56/D56,0)</x:f>
        <x:v>1.165875045670442</x:v>
      </x:c>
      <x:c r="G56" s="20" t="n">
        <x:f>IFERROR(E56/C56,0)</x:f>
        <x:v>0.5382928475033738</x:v>
      </x:c>
      <x:c r="H56" t="str">
        <x:f>IF(E56&gt;0,"Profitable",IF(E56&lt;0,"Loss-Making","Break-even"))</x:f>
        <x:v>Profitable</x:v>
      </x:c>
    </x:row>
    <x:row r="57">
      <x:c r="A57" t="str">
        <x:v>Product 056</x:v>
      </x:c>
      <x:c r="B57" s="18" t="n">
        <x:v>1092.80016</x:v>
      </x:c>
      <x:c r="C57" s="18" t="n">
        <x:v>11169.5469</x:v>
      </x:c>
      <x:c r="D57" s="18" t="n">
        <x:v>5150.719152</x:v>
      </x:c>
      <x:c r="E57" s="18" t="n">
        <x:v>6018.827748</x:v>
      </x:c>
      <x:c r="F57" s="20" t="n">
        <x:f>IFERROR(E57/D57,0)</x:f>
        <x:v>1.1685412406271303</x:v>
      </x:c>
      <x:c r="G57" s="20" t="n">
        <x:f>IFERROR(E57/C57,0)</x:f>
        <x:v>0.538860510805501</x:v>
      </x:c>
      <x:c r="H57" t="str">
        <x:f>IF(E57&gt;0,"Profitable",IF(E57&lt;0,"Loss-Making","Break-even"))</x:f>
        <x:v>Profitable</x:v>
      </x:c>
    </x:row>
    <x:row r="58">
      <x:c r="A58" t="str">
        <x:v>Product 057</x:v>
      </x:c>
      <x:c r="B58" s="18" t="n">
        <x:v>80.94816</x:v>
      </x:c>
      <x:c r="C58" s="18" t="n">
        <x:v>561.76896</x:v>
      </x:c>
      <x:c r="D58" s="18" t="n">
        <x:v>491.54783999999995</x:v>
      </x:c>
      <x:c r="E58" s="18" t="n">
        <x:v>70.22112</x:v>
      </x:c>
      <x:c r="F58" s="20" t="n">
        <x:f>IFERROR(E58/D58,0)</x:f>
        <x:v>0.14285714285714288</x:v>
      </x:c>
      <x:c r="G58" s="20" t="n">
        <x:f>IFERROR(E58/C58,0)</x:f>
        <x:v>0.125</x:v>
      </x:c>
      <x:c r="H58" t="str">
        <x:f>IF(E58&gt;0,"Profitable",IF(E58&lt;0,"Loss-Making","Break-even"))</x:f>
        <x:v>Profitable</x:v>
      </x:c>
    </x:row>
    <x:row r="59">
      <x:c r="A59" t="str">
        <x:v>Product 058</x:v>
      </x:c>
      <x:c r="B59" s="18" t="n">
        <x:v>80.94816</x:v>
      </x:c>
      <x:c r="C59" s="18" t="n">
        <x:v>561.76896</x:v>
      </x:c>
      <x:c r="D59" s="18" t="n">
        <x:v>491.54783999999995</x:v>
      </x:c>
      <x:c r="E59" s="18" t="n">
        <x:v>70.22112</x:v>
      </x:c>
      <x:c r="F59" s="20" t="n">
        <x:f>IFERROR(E59/D59,0)</x:f>
        <x:v>0.14285714285714288</x:v>
      </x:c>
      <x:c r="G59" s="20" t="n">
        <x:f>IFERROR(E59/C59,0)</x:f>
        <x:v>0.125</x:v>
      </x:c>
      <x:c r="H59" t="str">
        <x:f>IF(E59&gt;0,"Profitable",IF(E59&lt;0,"Loss-Making","Break-even"))</x:f>
        <x:v>Profitable</x:v>
      </x:c>
    </x:row>
    <x:row r="60">
      <x:c r="A60" t="str">
        <x:v>Product 059</x:v>
      </x:c>
      <x:c r="B60" s="18" t="n">
        <x:v>80.94816</x:v>
      </x:c>
      <x:c r="C60" s="18" t="n">
        <x:v>561.76896</x:v>
      </x:c>
      <x:c r="D60" s="18" t="n">
        <x:v>491.54783999999995</x:v>
      </x:c>
      <x:c r="E60" s="18" t="n">
        <x:v>70.22112</x:v>
      </x:c>
      <x:c r="F60" s="20" t="n">
        <x:f>IFERROR(E60/D60,0)</x:f>
        <x:v>0.14285714285714288</x:v>
      </x:c>
      <x:c r="G60" s="20" t="n">
        <x:f>IFERROR(E60/C60,0)</x:f>
        <x:v>0.125</x:v>
      </x:c>
      <x:c r="H60" t="str">
        <x:f>IF(E60&gt;0,"Profitable",IF(E60&lt;0,"Loss-Making","Break-even"))</x:f>
        <x:v>Profitable</x:v>
      </x:c>
    </x:row>
    <x:row r="61">
      <x:c r="A61" t="str">
        <x:v>Product 060</x:v>
      </x:c>
      <x:c r="B61" s="18" t="n">
        <x:v>40.47408</x:v>
      </x:c>
      <x:c r="C61" s="18" t="n">
        <x:v>323.017152</x:v>
      </x:c>
      <x:c r="D61" s="18" t="n">
        <x:v>280.88448</x:v>
      </x:c>
      <x:c r="E61" s="18" t="n">
        <x:v>42.132672</x:v>
      </x:c>
      <x:c r="F61" s="20" t="n">
        <x:f>IFERROR(E61/D61,0)</x:f>
        <x:v>0.15</x:v>
      </x:c>
      <x:c r="G61" s="20" t="n">
        <x:f>IFERROR(E61/C61,0)</x:f>
        <x:v>0.13043478260869565</x:v>
      </x:c>
      <x:c r="H61" t="str">
        <x:f>IF(E61&gt;0,"Profitable",IF(E61&lt;0,"Loss-Making","Break-even"))</x:f>
        <x:v>Profitable</x:v>
      </x:c>
    </x:row>
    <x:row r="62">
      <x:c r="A62" t="str">
        <x:v>Product 061</x:v>
      </x:c>
      <x:c r="B62" s="18" t="n">
        <x:v>40.47408</x:v>
      </x:c>
      <x:c r="C62" s="18" t="n">
        <x:v>323.017152</x:v>
      </x:c>
      <x:c r="D62" s="18" t="n">
        <x:v>280.88448</x:v>
      </x:c>
      <x:c r="E62" s="18" t="n">
        <x:v>42.132672</x:v>
      </x:c>
      <x:c r="F62" s="20" t="n">
        <x:f>IFERROR(E62/D62,0)</x:f>
        <x:v>0.15</x:v>
      </x:c>
      <x:c r="G62" s="20" t="n">
        <x:f>IFERROR(E62/C62,0)</x:f>
        <x:v>0.13043478260869565</x:v>
      </x:c>
      <x:c r="H62" t="str">
        <x:f>IF(E62&gt;0,"Profitable",IF(E62&lt;0,"Loss-Making","Break-even"))</x:f>
        <x:v>Profitable</x:v>
      </x:c>
    </x:row>
    <x:row r="63">
      <x:c r="A63" t="str">
        <x:v>Product 062</x:v>
      </x:c>
      <x:c r="B63" s="18" t="n">
        <x:v>40.47408</x:v>
      </x:c>
      <x:c r="C63" s="18" t="n">
        <x:v>323.017152</x:v>
      </x:c>
      <x:c r="D63" s="18" t="n">
        <x:v>280.88448</x:v>
      </x:c>
      <x:c r="E63" s="18" t="n">
        <x:v>42.132672</x:v>
      </x:c>
      <x:c r="F63" s="20" t="n">
        <x:f>IFERROR(E63/D63,0)</x:f>
        <x:v>0.15</x:v>
      </x:c>
      <x:c r="G63" s="20" t="n">
        <x:f>IFERROR(E63/C63,0)</x:f>
        <x:v>0.13043478260869565</x:v>
      </x:c>
      <x:c r="H63" t="str">
        <x:f>IF(E63&gt;0,"Profitable",IF(E63&lt;0,"Loss-Making","Break-even"))</x:f>
        <x:v>Profitable</x:v>
      </x:c>
    </x:row>
    <x:row r="64">
      <x:c r="A64" t="str">
        <x:v>Product 063</x:v>
      </x:c>
      <x:c r="B64" s="18" t="n">
        <x:v>141.65928</x:v>
      </x:c>
      <x:c r="C64" s="18" t="n">
        <x:v>233.485224</x:v>
      </x:c>
      <x:c r="D64" s="18" t="n">
        <x:v>165.897396</x:v>
      </x:c>
      <x:c r="E64" s="18" t="n">
        <x:v>67.587828</x:v>
      </x:c>
      <x:c r="F64" s="20" t="n">
        <x:f>IFERROR(E64/D64,0)</x:f>
        <x:v>0.40740740740740744</x:v>
      </x:c>
      <x:c r="G64" s="20" t="n">
        <x:f>IFERROR(E64/C64,0)</x:f>
        <x:v>0.2894736842105263</x:v>
      </x:c>
      <x:c r="H64" t="str">
        <x:f>IF(E64&gt;0,"Profitable",IF(E64&lt;0,"Loss-Making","Break-even"))</x:f>
        <x:v>Profitable</x:v>
      </x:c>
    </x:row>
    <x:row r="65">
      <x:c r="A65" t="str">
        <x:v>Product 064</x:v>
      </x:c>
      <x:c r="B65" s="18" t="n">
        <x:v>222.60744</x:v>
      </x:c>
      <x:c r="C65" s="18" t="n">
        <x:v>524.902872</x:v>
      </x:c>
      <x:c r="D65" s="18" t="n">
        <x:v>260.695908</x:v>
      </x:c>
      <x:c r="E65" s="18" t="n">
        <x:v>264.20696399999997</x:v>
      </x:c>
      <x:c r="F65" s="20" t="n">
        <x:f>IFERROR(E65/D65,0)</x:f>
        <x:v>1.0134680134680134</x:v>
      </x:c>
      <x:c r="G65" s="20" t="n">
        <x:f>IFERROR(E65/C65,0)</x:f>
        <x:v>0.5033444816053512</x:v>
      </x:c>
      <x:c r="H65" t="str">
        <x:f>IF(E65&gt;0,"Profitable",IF(E65&lt;0,"Loss-Making","Break-even"))</x:f>
        <x:v>Profitable</x:v>
      </x:c>
    </x:row>
    <x:row r="66">
      <x:c r="A66" t="str">
        <x:v>Product 065</x:v>
      </x:c>
      <x:c r="B66" s="18" t="n">
        <x:v>161.89632</x:v>
      </x:c>
      <x:c r="C66" s="18" t="n">
        <x:v>266.840256</x:v>
      </x:c>
      <x:c r="D66" s="18" t="n">
        <x:v>189.59702399999998</x:v>
      </x:c>
      <x:c r="E66" s="18" t="n">
        <x:v>77.24323199999999</x:v>
      </x:c>
      <x:c r="F66" s="20" t="n">
        <x:f>IFERROR(E66/D66,0)</x:f>
        <x:v>0.40740740740740744</x:v>
      </x:c>
      <x:c r="G66" s="20" t="n">
        <x:f>IFERROR(E66/C66,0)</x:f>
        <x:v>0.28947368421052627</x:v>
      </x:c>
      <x:c r="H66" t="str">
        <x:f>IF(E66&gt;0,"Profitable",IF(E66&lt;0,"Loss-Making","Break-even"))</x:f>
        <x:v>Profitable</x:v>
      </x:c>
    </x:row>
    <x:row r="67">
      <x:c r="A67" t="str">
        <x:v>Product 066</x:v>
      </x:c>
      <x:c r="B67" s="18" t="n">
        <x:v>161.89632</x:v>
      </x:c>
      <x:c r="C67" s="18" t="n">
        <x:v>266.840256</x:v>
      </x:c>
      <x:c r="D67" s="18" t="n">
        <x:v>189.59702399999998</x:v>
      </x:c>
      <x:c r="E67" s="18" t="n">
        <x:v>77.24323199999999</x:v>
      </x:c>
      <x:c r="F67" s="20" t="n">
        <x:f>IFERROR(E67/D67,0)</x:f>
        <x:v>0.40740740740740744</x:v>
      </x:c>
      <x:c r="G67" s="20" t="n">
        <x:f>IFERROR(E67/C67,0)</x:f>
        <x:v>0.28947368421052627</x:v>
      </x:c>
      <x:c r="H67" t="str">
        <x:f>IF(E67&gt;0,"Profitable",IF(E67&lt;0,"Loss-Making","Break-even"))</x:f>
        <x:v>Profitable</x:v>
      </x:c>
    </x:row>
    <x:row r="68">
      <x:c r="A68" t="str">
        <x:v>Product 067</x:v>
      </x:c>
      <x:c r="B68" s="18" t="n">
        <x:v>141.65928</x:v>
      </x:c>
      <x:c r="C68" s="18" t="n">
        <x:v>233.485224</x:v>
      </x:c>
      <x:c r="D68" s="18" t="n">
        <x:v>165.897396</x:v>
      </x:c>
      <x:c r="E68" s="18" t="n">
        <x:v>67.587828</x:v>
      </x:c>
      <x:c r="F68" s="20" t="n">
        <x:f>IFERROR(E68/D68,0)</x:f>
        <x:v>0.40740740740740744</x:v>
      </x:c>
      <x:c r="G68" s="20" t="n">
        <x:f>IFERROR(E68/C68,0)</x:f>
        <x:v>0.2894736842105263</x:v>
      </x:c>
      <x:c r="H68" t="str">
        <x:f>IF(E68&gt;0,"Profitable",IF(E68&lt;0,"Loss-Making","Break-even"))</x:f>
        <x:v>Profitable</x:v>
      </x:c>
    </x:row>
    <x:row r="69">
      <x:c r="A69" t="str">
        <x:v>Product 068</x:v>
      </x:c>
      <x:c r="B69" s="18" t="n">
        <x:v>141.65928</x:v>
      </x:c>
      <x:c r="C69" s="18" t="n">
        <x:v>233.485224</x:v>
      </x:c>
      <x:c r="D69" s="18" t="n">
        <x:v>165.897396</x:v>
      </x:c>
      <x:c r="E69" s="18" t="n">
        <x:v>67.587828</x:v>
      </x:c>
      <x:c r="F69" s="20" t="n">
        <x:f>IFERROR(E69/D69,0)</x:f>
        <x:v>0.40740740740740744</x:v>
      </x:c>
      <x:c r="G69" s="20" t="n">
        <x:f>IFERROR(E69/C69,0)</x:f>
        <x:v>0.2894736842105263</x:v>
      </x:c>
      <x:c r="H69" t="str">
        <x:f>IF(E69&gt;0,"Profitable",IF(E69&lt;0,"Loss-Making","Break-even"))</x:f>
        <x:v>Profitable</x:v>
      </x:c>
    </x:row>
    <x:row r="70">
      <x:c r="A70" t="str">
        <x:v>Product 069</x:v>
      </x:c>
      <x:c r="B70" s="18" t="n">
        <x:v>74.20248000000001</x:v>
      </x:c>
      <x:c r="C70" s="18" t="n">
        <x:v>708.06296</x:v>
      </x:c>
      <x:c r="D70" s="18" t="n">
        <x:v>627.6012599999999</x:v>
      </x:c>
      <x:c r="E70" s="18" t="n">
        <x:v>80.4617</x:v>
      </x:c>
      <x:c r="F70" s="20" t="n">
        <x:f>IFERROR(E70/D70,0)</x:f>
        <x:v>0.12820512820512822</x:v>
      </x:c>
      <x:c r="G70" s="20" t="n">
        <x:f>IFERROR(E70/C70,0)</x:f>
        <x:v>0.11363636363636363</x:v>
      </x:c>
      <x:c r="H70" t="str">
        <x:f>IF(E70&gt;0,"Profitable",IF(E70&lt;0,"Loss-Making","Break-even"))</x:f>
        <x:v>Profitable</x:v>
      </x:c>
    </x:row>
    <x:row r="71">
      <x:c r="A71" t="str">
        <x:v>Product 070</x:v>
      </x:c>
      <x:c r="B71" s="18" t="n">
        <x:v>75.8889</x:v>
      </x:c>
      <x:c r="C71" s="18" t="n">
        <x:v>724.1552999999999</x:v>
      </x:c>
      <x:c r="D71" s="18" t="n">
        <x:v>641.864925</x:v>
      </x:c>
      <x:c r="E71" s="18" t="n">
        <x:v>82.290375</x:v>
      </x:c>
      <x:c r="F71" s="20" t="n">
        <x:f>IFERROR(E71/D71,0)</x:f>
        <x:v>0.1282051282051282</x:v>
      </x:c>
      <x:c r="G71" s="20" t="n">
        <x:f>IFERROR(E71/C71,0)</x:f>
        <x:v>0.11363636363636365</x:v>
      </x:c>
      <x:c r="H71" t="str">
        <x:f>IF(E71&gt;0,"Profitable",IF(E71&lt;0,"Loss-Making","Break-even"))</x:f>
        <x:v>Profitable</x:v>
      </x:c>
    </x:row>
    <x:row r="72">
      <x:c r="A72" t="str">
        <x:v>Product 071</x:v>
      </x:c>
      <x:c r="B72" s="18" t="n">
        <x:v>72.51606</x:v>
      </x:c>
      <x:c r="C72" s="18" t="n">
        <x:v>691.9706199999999</x:v>
      </x:c>
      <x:c r="D72" s="18" t="n">
        <x:v>613.337595</x:v>
      </x:c>
      <x:c r="E72" s="18" t="n">
        <x:v>78.63302499999999</x:v>
      </x:c>
      <x:c r="F72" s="20" t="n">
        <x:f>IFERROR(E72/D72,0)</x:f>
        <x:v>0.1282051282051282</x:v>
      </x:c>
      <x:c r="G72" s="20" t="n">
        <x:f>IFERROR(E72/C72,0)</x:f>
        <x:v>0.11363636363636363</x:v>
      </x:c>
      <x:c r="H72" t="str">
        <x:f>IF(E72&gt;0,"Profitable",IF(E72&lt;0,"Loss-Making","Break-even"))</x:f>
        <x:v>Profitable</x:v>
      </x:c>
    </x:row>
    <x:row r="73">
      <x:c r="A73" t="str">
        <x:v>Product 072</x:v>
      </x:c>
      <x:c r="B73" s="18" t="n">
        <x:v>728.53344</x:v>
      </x:c>
      <x:c r="C73" s="18" t="n">
        <x:v>262.93420619999995</x:v>
      </x:c>
      <x:c r="D73" s="18" t="n">
        <x:v>758.3880959999999</x:v>
      </x:c>
      <x:c r="E73" s="18" t="n">
        <x:v>-495.4538898</x:v>
      </x:c>
      <x:c r="F73" s="20" t="n">
        <x:f>IFERROR(E73/D73,0)</x:f>
        <x:v>-0.6532986111111112</x:v>
      </x:c>
      <x:c r="G73" s="20" t="n">
        <x:f>IFERROR(E73/C73,0)</x:f>
        <x:v>-1.8843264897346024</x:v>
      </x:c>
      <x:c r="H73" t="str">
        <x:f>IF(E73&gt;0,"Profitable",IF(E73&lt;0,"Loss-Making","Break-even"))</x:f>
        <x:v>Loss-Making</x:v>
      </x:c>
    </x:row>
    <x:row r="74">
      <x:c r="A74" t="str">
        <x:v>Product 073</x:v>
      </x:c>
      <x:c r="B74" s="18" t="n">
        <x:v>849.95568</x:v>
      </x:c>
      <x:c r="C74" s="18" t="n">
        <x:v>263.15364719999997</x:v>
      </x:c>
      <x:c r="D74" s="18" t="n">
        <x:v>884.7861119999999</x:v>
      </x:c>
      <x:c r="E74" s="18" t="n">
        <x:v>-621.6324648</x:v>
      </x:c>
      <x:c r="F74" s="20" t="n">
        <x:f>IFERROR(E74/D74,0)</x:f>
        <x:v>-0.7025793650793651</x:v>
      </x:c>
      <x:c r="G74" s="20" t="n">
        <x:f>IFERROR(E74/C74,0)</x:f>
        <x:v>-2.3622414943295533</x:v>
      </x:c>
      <x:c r="H74" t="str">
        <x:f>IF(E74&gt;0,"Profitable",IF(E74&lt;0,"Loss-Making","Break-even"))</x:f>
        <x:v>Loss-Making</x:v>
      </x:c>
    </x:row>
    <x:row r="75">
      <x:c r="A75" t="str">
        <x:v>Product 074</x:v>
      </x:c>
      <x:c r="B75" s="18" t="n">
        <x:v>728.53344</x:v>
      </x:c>
      <x:c r="C75" s="18" t="n">
        <x:v>349.08674279999997</x:v>
      </x:c>
      <x:c r="D75" s="18" t="n">
        <x:v>758.3880959999999</x:v>
      </x:c>
      <x:c r="E75" s="18" t="n">
        <x:v>-409.30135319999994</x:v>
      </x:c>
      <x:c r="F75" s="20" t="n">
        <x:f>IFERROR(E75/D75,0)</x:f>
        <x:v>-0.539699074074074</x:v>
      </x:c>
      <x:c r="G75" s="20" t="n">
        <x:f>IFERROR(E75/C75,0)</x:f>
        <x:v>-1.1724918280110634</x:v>
      </x:c>
      <x:c r="H75" t="str">
        <x:f>IF(E75&gt;0,"Profitable",IF(E75&lt;0,"Loss-Making","Break-even"))</x:f>
        <x:v>Loss-Making</x:v>
      </x:c>
    </x:row>
    <x:row r="76">
      <x:c r="A76" t="str">
        <x:v>Product 075</x:v>
      </x:c>
      <x:c r="B76" s="18" t="n">
        <x:v>688.05936</x:v>
      </x:c>
      <x:c r="C76" s="18" t="n">
        <x:v>320.2960836</x:v>
      </x:c>
      <x:c r="D76" s="18" t="n">
        <x:v>716.255424</x:v>
      </x:c>
      <x:c r="E76" s="18" t="n">
        <x:v>-395.95934040000003</x:v>
      </x:c>
      <x:c r="F76" s="20" t="n">
        <x:f>IFERROR(E76/D76,0)</x:f>
        <x:v>-0.5528186274509804</x:v>
      </x:c>
      <x:c r="G76" s="20" t="n">
        <x:f>IFERROR(E76/C76,0)</x:f>
        <x:v>-1.2362291038640725</x:v>
      </x:c>
      <x:c r="H76" t="str">
        <x:f>IF(E76&gt;0,"Profitable",IF(E76&lt;0,"Loss-Making","Break-even"))</x:f>
        <x:v>Loss-Making</x:v>
      </x:c>
    </x:row>
    <x:row r="77">
      <x:c r="A77" t="str">
        <x:v>Product 076</x:v>
      </x:c>
      <x:c r="B77" s="18" t="n">
        <x:v>688.05936</x:v>
      </x:c>
      <x:c r="C77" s="18" t="n">
        <x:v>320.2960836</x:v>
      </x:c>
      <x:c r="D77" s="18" t="n">
        <x:v>716.255424</x:v>
      </x:c>
      <x:c r="E77" s="18" t="n">
        <x:v>-395.95934040000003</x:v>
      </x:c>
      <x:c r="F77" s="20" t="n">
        <x:f>IFERROR(E77/D77,0)</x:f>
        <x:v>-0.5528186274509804</x:v>
      </x:c>
      <x:c r="G77" s="20" t="n">
        <x:f>IFERROR(E77/C77,0)</x:f>
        <x:v>-1.2362291038640725</x:v>
      </x:c>
      <x:c r="H77" t="str">
        <x:f>IF(E77&gt;0,"Profitable",IF(E77&lt;0,"Loss-Making","Break-even"))</x:f>
        <x:v>Loss-Making</x:v>
      </x:c>
    </x:row>
    <x:row r="78">
      <x:c r="A78" t="str">
        <x:v>Product 077</x:v>
      </x:c>
      <x:c r="B78" s="18" t="n">
        <x:v>566.63712</x:v>
      </x:c>
      <x:c r="C78" s="18" t="n">
        <x:v>320.07664259999996</x:v>
      </x:c>
      <x:c r="D78" s="18" t="n">
        <x:v>589.857408</x:v>
      </x:c>
      <x:c r="E78" s="18" t="n">
        <x:v>-269.78076539999995</x:v>
      </x:c>
      <x:c r="F78" s="20" t="n">
        <x:f>IFERROR(E78/D78,0)</x:f>
        <x:v>-0.4573660714285714</x:v>
      </x:c>
      <x:c r="G78" s="20" t="n">
        <x:f>IFERROR(E78/C78,0)</x:f>
        <x:v>-0.8428630193336075</x:v>
      </x:c>
      <x:c r="H78" t="str">
        <x:f>IF(E78&gt;0,"Profitable",IF(E78&lt;0,"Loss-Making","Break-even"))</x:f>
        <x:v>Loss-Making</x:v>
      </x:c>
    </x:row>
    <x:row r="79">
      <x:c r="A79" t="str">
        <x:v>Product 078</x:v>
      </x:c>
      <x:c r="B79" s="18" t="n">
        <x:v>182.13336</x:v>
      </x:c>
      <x:c r="C79" s="18" t="n">
        <x:v>1184.9814</x:v>
      </x:c>
      <x:c r="D79" s="18" t="n">
        <x:v>568.791072</x:v>
      </x:c>
      <x:c r="E79" s="18" t="n">
        <x:v>616.1903279999999</x:v>
      </x:c>
      <x:c r="F79" s="20" t="n">
        <x:f>IFERROR(E79/D79,0)</x:f>
        <x:v>1.0833333333333333</x:v>
      </x:c>
      <x:c r="G79" s="20" t="n">
        <x:f>IFERROR(E79/C79,0)</x:f>
        <x:v>0.52</x:v>
      </x:c>
      <x:c r="H79" t="str">
        <x:f>IF(E79&gt;0,"Profitable",IF(E79&lt;0,"Loss-Making","Break-even"))</x:f>
        <x:v>Profitable</x:v>
      </x:c>
    </x:row>
    <x:row r="80">
      <x:c r="A80" t="str">
        <x:v>Product 079</x:v>
      </x:c>
      <x:c r="B80" s="18" t="n">
        <x:v>182.13336</x:v>
      </x:c>
      <x:c r="C80" s="18" t="n">
        <x:v>1184.9814</x:v>
      </x:c>
      <x:c r="D80" s="18" t="n">
        <x:v>568.791072</x:v>
      </x:c>
      <x:c r="E80" s="18" t="n">
        <x:v>616.1903279999999</x:v>
      </x:c>
      <x:c r="F80" s="20" t="n">
        <x:f>IFERROR(E80/D80,0)</x:f>
        <x:v>1.0833333333333333</x:v>
      </x:c>
      <x:c r="G80" s="20" t="n">
        <x:f>IFERROR(E80/C80,0)</x:f>
        <x:v>0.52</x:v>
      </x:c>
      <x:c r="H80" t="str">
        <x:f>IF(E80&gt;0,"Profitable",IF(E80&lt;0,"Loss-Making","Break-even"))</x:f>
        <x:v>Profitable</x:v>
      </x:c>
    </x:row>
    <x:row r="81">
      <x:c r="A81" t="str">
        <x:v>Product 080</x:v>
      </x:c>
      <x:c r="B81" s="18" t="n">
        <x:v>182.13336</x:v>
      </x:c>
      <x:c r="C81" s="18" t="n">
        <x:v>1184.9814</x:v>
      </x:c>
      <x:c r="D81" s="18" t="n">
        <x:v>568.791072</x:v>
      </x:c>
      <x:c r="E81" s="18" t="n">
        <x:v>616.1903279999999</x:v>
      </x:c>
      <x:c r="F81" s="20" t="n">
        <x:f>IFERROR(E81/D81,0)</x:f>
        <x:v>1.0833333333333333</x:v>
      </x:c>
      <x:c r="G81" s="20" t="n">
        <x:f>IFERROR(E81/C81,0)</x:f>
        <x:v>0.52</x:v>
      </x:c>
      <x:c r="H81" t="str">
        <x:f>IF(E81&gt;0,"Profitable",IF(E81&lt;0,"Loss-Making","Break-even"))</x:f>
        <x:v>Profitable</x:v>
      </x:c>
    </x:row>
    <x:row r="82">
      <x:c r="A82" t="str">
        <x:v>Product 081</x:v>
      </x:c>
      <x:c r="B82" s="18" t="n">
        <x:v>151.7778</x:v>
      </x:c>
      <x:c r="C82" s="18" t="n">
        <x:v>987.4844999999999</x:v>
      </x:c>
      <x:c r="D82" s="18" t="n">
        <x:v>473.99255999999997</x:v>
      </x:c>
      <x:c r="E82" s="18" t="n">
        <x:v>513.49194</x:v>
      </x:c>
      <x:c r="F82" s="20" t="n">
        <x:f>IFERROR(E82/D82,0)</x:f>
        <x:v>1.0833333333333335</x:v>
      </x:c>
      <x:c r="G82" s="20" t="n">
        <x:f>IFERROR(E82/C82,0)</x:f>
        <x:v>0.52</x:v>
      </x:c>
      <x:c r="H82" t="str">
        <x:f>IF(E82&gt;0,"Profitable",IF(E82&lt;0,"Loss-Making","Break-even"))</x:f>
        <x:v>Profitable</x:v>
      </x:c>
    </x:row>
    <x:row r="83">
      <x:c r="A83" t="str">
        <x:v>Product 082</x:v>
      </x:c>
      <x:c r="B83" s="18" t="n">
        <x:v>151.7778</x:v>
      </x:c>
      <x:c r="C83" s="18" t="n">
        <x:v>987.4844999999999</x:v>
      </x:c>
      <x:c r="D83" s="18" t="n">
        <x:v>473.99255999999997</x:v>
      </x:c>
      <x:c r="E83" s="18" t="n">
        <x:v>513.49194</x:v>
      </x:c>
      <x:c r="F83" s="20" t="n">
        <x:f>IFERROR(E83/D83,0)</x:f>
        <x:v>1.0833333333333335</x:v>
      </x:c>
      <x:c r="G83" s="20" t="n">
        <x:f>IFERROR(E83/C83,0)</x:f>
        <x:v>0.52</x:v>
      </x:c>
      <x:c r="H83" t="str">
        <x:f>IF(E83&gt;0,"Profitable",IF(E83&lt;0,"Loss-Making","Break-even"))</x:f>
        <x:v>Profitable</x:v>
      </x:c>
    </x:row>
    <x:row r="84">
      <x:c r="A84" t="str">
        <x:v>Product 083</x:v>
      </x:c>
      <x:c r="B84" s="18" t="n">
        <x:v>151.7778</x:v>
      </x:c>
      <x:c r="C84" s="18" t="n">
        <x:v>987.4844999999999</x:v>
      </x:c>
      <x:c r="D84" s="18" t="n">
        <x:v>473.99255999999997</x:v>
      </x:c>
      <x:c r="E84" s="18" t="n">
        <x:v>513.49194</x:v>
      </x:c>
      <x:c r="F84" s="20" t="n">
        <x:f>IFERROR(E84/D84,0)</x:f>
        <x:v>1.0833333333333335</x:v>
      </x:c>
      <x:c r="G84" s="20" t="n">
        <x:f>IFERROR(E84/C84,0)</x:f>
        <x:v>0.52</x:v>
      </x:c>
      <x:c r="H84" t="str">
        <x:f>IF(E84&gt;0,"Profitable",IF(E84&lt;0,"Loss-Making","Break-even"))</x:f>
        <x:v>Profitable</x:v>
      </x:c>
    </x:row>
  </x:sheetData>
  <x:conditionalFormatting sqref="H2:H84">
    <x:cfRule type="expression" dxfId="0" priority="1">
      <x:formula>H2="Profitable"</x:formula>
    </x:cfRule>
    <x:cfRule type="expression" dxfId="1" priority="2">
      <x:formula>H2="Loss-Making"</x:formula>
    </x:cfRule>
    <x:cfRule type="expression" dxfId="2" priority="3">
      <x:formula>H2="Break-even"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CATEGORY</x:v>
      </x:c>
      <x:c r="B1" s="6" t="str">
        <x:v>TOTAL QTY SOLD</x:v>
      </x:c>
      <x:c r="C1" s="6" t="str">
        <x:v>TOTAL SALE VALUE</x:v>
      </x:c>
      <x:c r="D1" s="6" t="str">
        <x:v>TOTAL PURCHASE VALUE</x:v>
      </x:c>
      <x:c r="E1" s="6" t="str">
        <x:v>TOTAL PROFIT</x:v>
      </x:c>
      <x:c r="F1" s="6" t="str">
        <x:v>MARKUP %</x:v>
      </x:c>
      <x:c r="G1" s="6" t="str">
        <x:v>GROSS MARGIN %</x:v>
      </x:c>
      <x:c r="H1" s="6" t="str">
        <x:v>PERFORMANCE</x:v>
      </x:c>
    </x:row>
    <x:row r="2">
      <x:c r="A2" t="str">
        <x:v>Category 01</x:v>
      </x:c>
      <x:c r="B2" s="18" t="n">
        <x:v>12049.3359864</x:v>
      </x:c>
      <x:c r="C2" s="18" t="n">
        <x:v>123081.28963490001</x:v>
      </x:c>
      <x:c r="D2" s="18" t="n">
        <x:v>58356.908256548995</x:v>
      </x:c>
      <x:c r="E2" s="18" t="n">
        <x:v>64724.381378351</x:v>
      </x:c>
      <x:c r="F2" s="20" t="n">
        <x:f>IFERROR(E2/D2,0)</x:f>
        <x:v>1.1091125851597428</x:v>
      </x:c>
      <x:c r="G2" s="20" t="n">
        <x:f>IFERROR(E2/C2,0)</x:f>
        <x:v>0.525866941842623</x:v>
      </x:c>
      <x:c r="H2" t="str">
        <x:f>IF(E2&gt;0,"Profitable",IF(E2&lt;0,"Loss-Making","Break-even"))</x:f>
        <x:v>Profitable</x:v>
      </x:c>
    </x:row>
    <x:row r="3">
      <x:c r="A3" t="str">
        <x:v>Category 02</x:v>
      </x:c>
      <x:c r="B3" s="18" t="n">
        <x:v>92604.69504</x:v>
      </x:c>
      <x:c r="C3" s="18" t="n">
        <x:v>146151.217056</x:v>
      </x:c>
      <x:c r="D3" s="18" t="n">
        <x:v>108449.49772799999</x:v>
      </x:c>
      <x:c r="E3" s="18" t="n">
        <x:v>37701.719328</x:v>
      </x:c>
      <x:c r="F3" s="20" t="n">
        <x:f>IFERROR(E3/D3,0)</x:f>
        <x:v>0.3476430976430977</x:v>
      </x:c>
      <x:c r="G3" s="20" t="n">
        <x:f>IFERROR(E3/C3,0)</x:f>
        <x:v>0.2579637726420987</x:v>
      </x:c>
      <x:c r="H3" t="str">
        <x:f>IF(E3&gt;0,"Profitable",IF(E3&lt;0,"Loss-Making","Break-even"))</x:f>
        <x:v>Profitable</x:v>
      </x:c>
    </x:row>
    <x:row r="4">
      <x:c r="A4" t="str">
        <x:v>Category 03</x:v>
      </x:c>
      <x:c r="B4" s="18" t="n">
        <x:v>14570.6688</x:v>
      </x:c>
      <x:c r="C4" s="18" t="n">
        <x:v>8073.717160199999</x:v>
      </x:c>
      <x:c r="D4" s="18" t="n">
        <x:v>7702.379099999999</x:v>
      </x:c>
      <x:c r="E4" s="18" t="n">
        <x:v>371.3380602</x:v>
      </x:c>
      <x:c r="F4" s="20" t="n">
        <x:f>IFERROR(E4/D4,0)</x:f>
        <x:v>0.04821082621082621</x:v>
      </x:c>
      <x:c r="G4" s="20" t="n">
        <x:f>IFERROR(E4/C4,0)</x:f>
        <x:v>0.04599344426264263</x:v>
      </x:c>
      <x:c r="H4" t="str">
        <x:f>IF(E4&gt;0,"Profitable",IF(E4&lt;0,"Loss-Making","Break-even"))</x:f>
        <x:v>Profitable</x:v>
      </x:c>
    </x:row>
    <x:row r="5">
      <x:c r="A5" t="str">
        <x:v>Category 04</x:v>
      </x:c>
      <x:c r="B5" s="18" t="n">
        <x:v>45776.18448</x:v>
      </x:c>
      <x:c r="C5" s="18" t="n">
        <x:v>98992.834127</x:v>
      </x:c>
      <x:c r="D5" s="18" t="n">
        <x:v>63448.644081599996</x:v>
      </x:c>
      <x:c r="E5" s="18" t="n">
        <x:v>35544.1900454</x:v>
      </x:c>
      <x:c r="F5" s="20" t="n">
        <x:f>IFERROR(E5/D5,0)</x:f>
        <x:v>0.5602040919848081</x:v>
      </x:c>
      <x:c r="G5" s="20" t="n">
        <x:f>IFERROR(E5/C5,0)</x:f>
        <x:v>0.3590582122318026</x:v>
      </x:c>
      <x:c r="H5" t="str">
        <x:f>IF(E5&gt;0,"Profitable",IF(E5&lt;0,"Loss-Making","Break-even"))</x:f>
        <x:v>Profitable</x:v>
      </x:c>
    </x:row>
    <x:row r="6">
      <x:c r="A6" t="str">
        <x:v>Category 05</x:v>
      </x:c>
      <x:c r="B6" s="18" t="n">
        <x:v>242.84448</x:v>
      </x:c>
      <x:c r="C6" s="18" t="n">
        <x:v>1685.3068799999999</x:v>
      </x:c>
      <x:c r="D6" s="18" t="n">
        <x:v>1474.6435199999999</x:v>
      </x:c>
      <x:c r="E6" s="18" t="n">
        <x:v>210.66335999999998</x:v>
      </x:c>
      <x:c r="F6" s="20" t="n">
        <x:f>IFERROR(E6/D6,0)</x:f>
        <x:v>0.14285714285714285</x:v>
      </x:c>
      <x:c r="G6" s="20" t="n">
        <x:f>IFERROR(E6/C6,0)</x:f>
        <x:v>0.125</x:v>
      </x:c>
      <x:c r="H6" t="str">
        <x:f>IF(E6&gt;0,"Profitable",IF(E6&lt;0,"Loss-Making","Break-even"))</x:f>
        <x:v>Profitable</x:v>
      </x:c>
    </x:row>
    <x:row r="7">
      <x:c r="A7" t="str">
        <x:v>Category 06</x:v>
      </x:c>
      <x:c r="B7" s="18" t="n">
        <x:v>121.42224</x:v>
      </x:c>
      <x:c r="C7" s="18" t="n">
        <x:v>969.0514559999999</x:v>
      </x:c>
      <x:c r="D7" s="18" t="n">
        <x:v>842.6534399999999</x:v>
      </x:c>
      <x:c r="E7" s="18" t="n">
        <x:v>126.398016</x:v>
      </x:c>
      <x:c r="F7" s="20" t="n">
        <x:f>IFERROR(E7/D7,0)</x:f>
        <x:v>0.15000000000000002</x:v>
      </x:c>
      <x:c r="G7" s="20" t="n">
        <x:f>IFERROR(E7/C7,0)</x:f>
        <x:v>0.13043478260869565</x:v>
      </x:c>
      <x:c r="H7" t="str">
        <x:f>IF(E7&gt;0,"Profitable",IF(E7&lt;0,"Loss-Making","Break-even"))</x:f>
        <x:v>Profitable</x:v>
      </x:c>
    </x:row>
    <x:row r="8">
      <x:c r="A8" t="str">
        <x:v>Category 07</x:v>
      </x:c>
      <x:c r="B8" s="18" t="n">
        <x:v>971.37792</x:v>
      </x:c>
      <x:c r="C8" s="18" t="n">
        <x:v>1759.039056</x:v>
      </x:c>
      <x:c r="D8" s="18" t="n">
        <x:v>1137.582144</x:v>
      </x:c>
      <x:c r="E8" s="18" t="n">
        <x:v>621.456912</x:v>
      </x:c>
      <x:c r="F8" s="20" t="n">
        <x:f>IFERROR(E8/D8,0)</x:f>
        <x:v>0.5462962962962963</x:v>
      </x:c>
      <x:c r="G8" s="20" t="n">
        <x:f>IFERROR(E8/C8,0)</x:f>
        <x:v>0.35329341317365265</x:v>
      </x:c>
      <x:c r="H8" t="str">
        <x:f>IF(E8&gt;0,"Profitable",IF(E8&lt;0,"Loss-Making","Break-even"))</x:f>
        <x:v>Profitable</x:v>
      </x:c>
    </x:row>
    <x:row r="9">
      <x:c r="A9" t="str">
        <x:v>Category 08</x:v>
      </x:c>
      <x:c r="B9" s="18" t="n">
        <x:v>222.60744</x:v>
      </x:c>
      <x:c r="C9" s="18" t="n">
        <x:v>2124.1888799999997</x:v>
      </x:c>
      <x:c r="D9" s="18" t="n">
        <x:v>1882.80378</x:v>
      </x:c>
      <x:c r="E9" s="18" t="n">
        <x:v>241.3851</x:v>
      </x:c>
      <x:c r="F9" s="20" t="n">
        <x:f>IFERROR(E9/D9,0)</x:f>
        <x:v>0.1282051282051282</x:v>
      </x:c>
      <x:c r="G9" s="20" t="n">
        <x:f>IFERROR(E9/C9,0)</x:f>
        <x:v>0.11363636363636365</x:v>
      </x:c>
      <x:c r="H9" t="str">
        <x:f>IF(E9&gt;0,"Profitable",IF(E9&lt;0,"Loss-Making","Break-even"))</x:f>
        <x:v>Profitable</x:v>
      </x:c>
    </x:row>
    <x:row r="10">
      <x:c r="A10" t="str">
        <x:v>Category 09</x:v>
      </x:c>
      <x:c r="B10" s="18" t="n">
        <x:v>4249.7784</x:v>
      </x:c>
      <x:c r="C10" s="18" t="n">
        <x:v>1835.843406</x:v>
      </x:c>
      <x:c r="D10" s="18" t="n">
        <x:v>4423.93056</x:v>
      </x:c>
      <x:c r="E10" s="18" t="n">
        <x:v>-2588.087154</x:v>
      </x:c>
      <x:c r="F10" s="20" t="n">
        <x:f>IFERROR(E10/D10,0)</x:f>
        <x:v>-0.5850198412698413</x:v>
      </x:c>
      <x:c r="G10" s="20" t="n">
        <x:f>IFERROR(E10/C10,0)</x:f>
        <x:v>-1.409753765240258</x:v>
      </x:c>
      <x:c r="H10" t="str">
        <x:f>IF(E10&gt;0,"Profitable",IF(E10&lt;0,"Loss-Making","Break-even"))</x:f>
        <x:v>Loss-Making</x:v>
      </x:c>
    </x:row>
    <x:row r="11">
      <x:c r="A11" t="str">
        <x:v>Category 10</x:v>
      </x:c>
      <x:c r="B11" s="18" t="n">
        <x:v>1001.73348</x:v>
      </x:c>
      <x:c r="C11" s="18" t="n">
        <x:v>6517.3976999999995</x:v>
      </x:c>
      <x:c r="D11" s="18" t="n">
        <x:v>3128.350896</x:v>
      </x:c>
      <x:c r="E11" s="18" t="n">
        <x:v>3389.0468039999996</x:v>
      </x:c>
      <x:c r="F11" s="20" t="n">
        <x:f>IFERROR(E11/D11,0)</x:f>
        <x:v>1.0833333333333333</x:v>
      </x:c>
      <x:c r="G11" s="20" t="n">
        <x:f>IFERROR(E11/C11,0)</x:f>
        <x:v>0.52</x:v>
      </x:c>
      <x:c r="H11" t="str">
        <x:f>IF(E11&gt;0,"Profitable",IF(E11&lt;0,"Loss-Making","Break-even"))</x:f>
        <x:v>Profitable</x:v>
      </x:c>
    </x:row>
  </x:sheetData>
  <x:conditionalFormatting sqref="H2:H11">
    <x:cfRule type="expression" dxfId="3" priority="1">
      <x:formula>H2="Profitable"</x:formula>
    </x:cfRule>
    <x:cfRule type="expression" dxfId="4" priority="2">
      <x:formula>H2="Loss-Making"</x:formula>
    </x:cfRule>
    <x:cfRule type="expression" dxfId="5" priority="3">
      <x:formula>H2="Break-even"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CUSTOMER</x:v>
      </x:c>
      <x:c r="B1" s="6" t="str">
        <x:v>TOTAL QTY SOLD</x:v>
      </x:c>
      <x:c r="C1" s="6" t="str">
        <x:v>TOTAL SALE VALUE</x:v>
      </x:c>
      <x:c r="D1" s="6" t="str">
        <x:v>TOTAL PURCHASE VALUE</x:v>
      </x:c>
      <x:c r="E1" s="6" t="str">
        <x:v>TOTAL PROFIT</x:v>
      </x:c>
      <x:c r="F1" s="6" t="str">
        <x:v>MARKUP %</x:v>
      </x:c>
      <x:c r="G1" s="6" t="str">
        <x:v>GROSS MARGIN %</x:v>
      </x:c>
      <x:c r="H1" s="6" t="str">
        <x:v>PERFORMANCE</x:v>
      </x:c>
    </x:row>
    <x:row r="2">
      <x:c r="A2" t="str">
        <x:v>Customer 001</x:v>
      </x:c>
      <x:c r="B2" s="18" t="n">
        <x:v>4917.60072</x:v>
      </x:c>
      <x:c r="C2" s="18" t="n">
        <x:v>13668.116755399999</x:v>
      </x:c>
      <x:c r="D2" s="18" t="n">
        <x:v>8546.466221199998</x:v>
      </x:c>
      <x:c r="E2" s="18" t="n">
        <x:v>5121.650534199999</x:v>
      </x:c>
      <x:c r="F2" s="20" t="n">
        <x:f>IFERROR(E2/D2,0)</x:f>
        <x:v>0.599271137525291</x:v>
      </x:c>
      <x:c r="G2" s="20" t="n">
        <x:f>IFERROR(E2/C2,0)</x:f>
        <x:v>0.37471515833931823</x:v>
      </x:c>
      <x:c r="H2" t="str">
        <x:f>IF(E2&gt;0,"Profitable",IF(E2&lt;0,"Loss-Making","Break-even"))</x:f>
        <x:v>Profitable</x:v>
      </x:c>
    </x:row>
    <x:row r="3">
      <x:c r="A3" t="str">
        <x:v>Customer 002</x:v>
      </x:c>
      <x:c r="B3" s="18" t="n">
        <x:v>6233.00832</x:v>
      </x:c>
      <x:c r="C3" s="18" t="n">
        <x:v>15694.712908</x:v>
      </x:c>
      <x:c r="D3" s="18" t="n">
        <x:v>10021.2560352</x:v>
      </x:c>
      <x:c r="E3" s="18" t="n">
        <x:v>5673.4568727999995</x:v>
      </x:c>
      <x:c r="F3" s="20" t="n">
        <x:f>IFERROR(E3/D3,0)</x:f>
        <x:v>0.5661422932286921</x:v>
      </x:c>
      <x:c r="G3" s="20" t="n">
        <x:f>IFERROR(E3/C3,0)</x:f>
        <x:v>0.36148841371339085</x:v>
      </x:c>
      <x:c r="H3" t="str">
        <x:f>IF(E3&gt;0,"Profitable",IF(E3&lt;0,"Loss-Making","Break-even"))</x:f>
        <x:v>Profitable</x:v>
      </x:c>
    </x:row>
    <x:row r="4">
      <x:c r="A4" t="str">
        <x:v>Customer 003</x:v>
      </x:c>
      <x:c r="B4" s="18" t="n">
        <x:v>64535.92056</x:v>
      </x:c>
      <x:c r="C4" s="18" t="n">
        <x:v>105922.10795459998</x:v>
      </x:c>
      <x:c r="D4" s="18" t="n">
        <x:v>77226.10097259999</x:v>
      </x:c>
      <x:c r="E4" s="18" t="n">
        <x:v>28696.006981999995</x:v>
      </x:c>
      <x:c r="F4" s="20" t="n">
        <x:f>IFERROR(E4/D4,0)</x:f>
        <x:v>0.37158430401894055</x:v>
      </x:c>
      <x:c r="G4" s="20" t="n">
        <x:f>IFERROR(E4/C4,0)</x:f>
        <x:v>0.2709161244628892</x:v>
      </x:c>
      <x:c r="H4" t="str">
        <x:f>IF(E4&gt;0,"Profitable",IF(E4&lt;0,"Loss-Making","Break-even"))</x:f>
        <x:v>Profitable</x:v>
      </x:c>
    </x:row>
    <x:row r="5">
      <x:c r="A5" t="str">
        <x:v>Customer 004</x:v>
      </x:c>
      <x:c r="B5" s="18" t="n">
        <x:v>7244.86032</x:v>
      </x:c>
      <x:c r="C5" s="18" t="n">
        <x:v>27741.292338</x:v>
      </x:c>
      <x:c r="D5" s="18" t="n">
        <x:v>15490.998513</x:v>
      </x:c>
      <x:c r="E5" s="18" t="n">
        <x:v>12250.293824999999</x:v>
      </x:c>
      <x:c r="F5" s="20" t="n">
        <x:f>IFERROR(E5/D5,0)</x:f>
        <x:v>0.7908007876135027</x:v>
      </x:c>
      <x:c r="G5" s="20" t="n">
        <x:f>IFERROR(E5/C5,0)</x:f>
        <x:v>0.44159059627584674</x:v>
      </x:c>
      <x:c r="H5" t="str">
        <x:f>IF(E5&gt;0,"Profitable",IF(E5&lt;0,"Loss-Making","Break-even"))</x:f>
        <x:v>Profitable</x:v>
      </x:c>
    </x:row>
    <x:row r="6">
      <x:c r="A6" t="str">
        <x:v>Customer 005</x:v>
      </x:c>
      <x:c r="B6" s="18" t="n">
        <x:v>2307.02256</x:v>
      </x:c>
      <x:c r="C6" s="18" t="n">
        <x:v>4345.0780939999995</x:v>
      </x:c>
      <x:c r="D6" s="18" t="n">
        <x:v>2975.61996</x:v>
      </x:c>
      <x:c r="E6" s="18" t="n">
        <x:v>1369.458134</x:v>
      </x:c>
      <x:c r="F6" s="20" t="n">
        <x:f>IFERROR(E6/D6,0)</x:f>
        <x:v>0.4602261553588987</x:v>
      </x:c>
      <x:c r="G6" s="20" t="n">
        <x:f>IFERROR(E6/C6,0)</x:f>
        <x:v>0.31517457324669207</x:v>
      </x:c>
      <x:c r="H6" t="str">
        <x:f>IF(E6&gt;0,"Profitable",IF(E6&lt;0,"Loss-Making","Break-even"))</x:f>
        <x:v>Profitable</x:v>
      </x:c>
    </x:row>
    <x:row r="7">
      <x:c r="A7" t="str">
        <x:v>Customer 006</x:v>
      </x:c>
      <x:c r="B7" s="18" t="n">
        <x:v>2226.0744</x:v>
      </x:c>
      <x:c r="C7" s="18" t="n">
        <x:v>9691.831205999999</x:v>
      </x:c>
      <x:c r="D7" s="18" t="n">
        <x:v>5399.7993164</x:v>
      </x:c>
      <x:c r="E7" s="18" t="n">
        <x:v>4292.0318896</x:v>
      </x:c>
      <x:c r="F7" s="20" t="n">
        <x:f>IFERROR(E7/D7,0)</x:f>
        <x:v>0.7948502598169631</x:v>
      </x:c>
      <x:c r="G7" s="20" t="n">
        <x:f>IFERROR(E7/C7,0)</x:f>
        <x:v>0.4428504581201226</x:v>
      </x:c>
      <x:c r="H7" t="str">
        <x:f>IF(E7&gt;0,"Profitable",IF(E7&lt;0,"Loss-Making","Break-even"))</x:f>
        <x:v>Profitable</x:v>
      </x:c>
    </x:row>
    <x:row r="8">
      <x:c r="A8" t="str">
        <x:v>Customer 007</x:v>
      </x:c>
      <x:c r="B8" s="18" t="n">
        <x:v>2226.0744</x:v>
      </x:c>
      <x:c r="C8" s="18" t="n">
        <x:v>9691.831205999999</x:v>
      </x:c>
      <x:c r="D8" s="18" t="n">
        <x:v>5399.7993164</x:v>
      </x:c>
      <x:c r="E8" s="18" t="n">
        <x:v>4292.0318896</x:v>
      </x:c>
      <x:c r="F8" s="20" t="n">
        <x:f>IFERROR(E8/D8,0)</x:f>
        <x:v>0.7948502598169631</x:v>
      </x:c>
      <x:c r="G8" s="20" t="n">
        <x:f>IFERROR(E8/C8,0)</x:f>
        <x:v>0.4428504581201226</x:v>
      </x:c>
      <x:c r="H8" t="str">
        <x:f>IF(E8&gt;0,"Profitable",IF(E8&lt;0,"Loss-Making","Break-even"))</x:f>
        <x:v>Profitable</x:v>
      </x:c>
    </x:row>
    <x:row r="9">
      <x:c r="A9" t="str">
        <x:v>Customer 008</x:v>
      </x:c>
      <x:c r="B9" s="18" t="n">
        <x:v>4219.42284</x:v>
      </x:c>
      <x:c r="C9" s="18" t="n">
        <x:v>47037.178349999995</x:v>
      </x:c>
      <x:c r="D9" s="18" t="n">
        <x:v>20424.953845199998</x:v>
      </x:c>
      <x:c r="E9" s="18" t="n">
        <x:v>26612.224504799997</x:v>
      </x:c>
      <x:c r="F9" s="20" t="n">
        <x:f>IFERROR(E9/D9,0)</x:f>
        <x:v>1.3029270326137872</x:v>
      </x:c>
      <x:c r="G9" s="20" t="n">
        <x:f>IFERROR(E9/C9,0)</x:f>
        <x:v>0.5657700023326335</x:v>
      </x:c>
      <x:c r="H9" t="str">
        <x:f>IF(E9&gt;0,"Profitable",IF(E9&lt;0,"Loss-Making","Break-even"))</x:f>
        <x:v>Profitable</x:v>
      </x:c>
    </x:row>
    <x:row r="10">
      <x:c r="A10" t="str">
        <x:v>Customer 009</x:v>
      </x:c>
      <x:c r="B10" s="18" t="n">
        <x:v>23029.75152</x:v>
      </x:c>
      <x:c r="C10" s="18" t="n">
        <x:v>56412.136752</x:v>
      </x:c>
      <x:c r="D10" s="18" t="n">
        <x:v>26756.0315068</x:v>
      </x:c>
      <x:c r="E10" s="18" t="n">
        <x:v>29656.1052452</x:v>
      </x:c>
      <x:c r="F10" s="20" t="n">
        <x:f>IFERROR(E10/D10,0)</x:f>
        <x:v>1.1083895321943746</x:v>
      </x:c>
      <x:c r="G10" s="20" t="n">
        <x:f>IFERROR(E10/C10,0)</x:f>
        <x:v>0.5257043422335637</x:v>
      </x:c>
      <x:c r="H10" t="str">
        <x:f>IF(E10&gt;0,"Profitable",IF(E10&lt;0,"Loss-Making","Break-even"))</x:f>
        <x:v>Profitable</x:v>
      </x:c>
    </x:row>
    <x:row r="11">
      <x:c r="A11" t="str">
        <x:v>Customer 010</x:v>
      </x:c>
      <x:c r="B11" s="18" t="n">
        <x:v>16553.89872</x:v>
      </x:c>
      <x:c r="C11" s="18" t="n">
        <x:v>27725.0975922</x:v>
      </x:c>
      <x:c r="D11" s="18" t="n">
        <x:v>19847.5167978</x:v>
      </x:c>
      <x:c r="E11" s="18" t="n">
        <x:v>7877.5807944</x:v>
      </x:c>
      <x:c r="F11" s="20" t="n">
        <x:f>IFERROR(E11/D11,0)</x:f>
        <x:v>0.3969051078104235</x:v>
      </x:c>
      <x:c r="G11" s="20" t="n">
        <x:f>IFERROR(E11/C11,0)</x:f>
        <x:v>0.2841317606981563</x:v>
      </x:c>
      <x:c r="H11" t="str">
        <x:f>IF(E11&gt;0,"Profitable",IF(E11&lt;0,"Loss-Making","Break-even"))</x:f>
        <x:v>Profitable</x:v>
      </x:c>
    </x:row>
    <x:row r="12">
      <x:c r="A12" t="str">
        <x:v>Customer 011</x:v>
      </x:c>
      <x:c r="B12" s="18" t="n">
        <x:v>1669.5558</x:v>
      </x:c>
      <x:c r="C12" s="18" t="n">
        <x:v>12069.255</x:v>
      </x:c>
      <x:c r="D12" s="18" t="n">
        <x:v>7812.245894</x:v>
      </x:c>
      <x:c r="E12" s="18" t="n">
        <x:v>4257.0091059999995</x:v>
      </x:c>
      <x:c r="F12" s="20" t="n">
        <x:f>IFERROR(E12/D12,0)</x:f>
        <x:v>0.544914889234284</x:v>
      </x:c>
      <x:c r="G12" s="20" t="n">
        <x:f>IFERROR(E12/C12,0)</x:f>
        <x:v>0.3527151515151515</x:v>
      </x:c>
      <x:c r="H12" t="str">
        <x:f>IF(E12&gt;0,"Profitable",IF(E12&lt;0,"Loss-Making","Break-even"))</x:f>
        <x:v>Profitable</x:v>
      </x:c>
    </x:row>
    <x:row r="13">
      <x:c r="A13" t="str">
        <x:v>Customer 012</x:v>
      </x:c>
      <x:c r="B13" s="18" t="n">
        <x:v>7811.49744</x:v>
      </x:c>
      <x:c r="C13" s="18" t="n">
        <x:v>14940.128455999999</x:v>
      </x:c>
      <x:c r="D13" s="18" t="n">
        <x:v>9752.9235804</x:v>
      </x:c>
      <x:c r="E13" s="18" t="n">
        <x:v>5187.2048755999995</x:v>
      </x:c>
      <x:c r="F13" s="20" t="n">
        <x:f>IFERROR(E13/D13,0)</x:f>
        <x:v>0.5318615318615318</x:v>
      </x:c>
      <x:c r="G13" s="20" t="n">
        <x:f>IFERROR(E13/C13,0)</x:f>
        <x:v>0.3471994829814735</x:v>
      </x:c>
      <x:c r="H13" t="str">
        <x:f>IF(E13&gt;0,"Profitable",IF(E13&lt;0,"Loss-Making","Break-even"))</x:f>
        <x:v>Profitable</x:v>
      </x:c>
    </x:row>
    <x:row r="14">
      <x:c r="A14" t="str">
        <x:v>Customer 013</x:v>
      </x:c>
      <x:c r="B14" s="18" t="n">
        <x:v>6757.3500264</x:v>
      </x:c>
      <x:c r="C14" s="18" t="n">
        <x:v>17452.193932899998</x:v>
      </x:c>
      <x:c r="D14" s="18" t="n">
        <x:v>10395.810149549</x:v>
      </x:c>
      <x:c r="E14" s="18" t="n">
        <x:v>7056.383783351</x:v>
      </x:c>
      <x:c r="F14" s="20" t="n">
        <x:f>IFERROR(E14/D14,0)</x:f>
        <x:v>0.6787718977012221</x:v>
      </x:c>
      <x:c r="G14" s="20" t="n">
        <x:f>IFERROR(E14/C14,0)</x:f>
        <x:v>0.40432645949737356</x:v>
      </x:c>
      <x:c r="H14" t="str">
        <x:f>IF(E14&gt;0,"Profitable",IF(E14&lt;0,"Loss-Making","Break-even"))</x:f>
        <x:v>Profitable</x:v>
      </x:c>
    </x:row>
    <x:row r="15">
      <x:c r="A15" t="str">
        <x:v>Customer 014</x:v>
      </x:c>
      <x:c r="B15" s="18" t="n">
        <x:v>7528.17888</x:v>
      </x:c>
      <x:c r="C15" s="18" t="n">
        <x:v>14693.842506999998</x:v>
      </x:c>
      <x:c r="D15" s="18" t="n">
        <x:v>8999.143745399999</x:v>
      </x:c>
      <x:c r="E15" s="18" t="n">
        <x:v>5694.6987616</x:v>
      </x:c>
      <x:c r="F15" s="20" t="n">
        <x:f>IFERROR(E15/D15,0)</x:f>
        <x:v>0.6328045114859846</x:v>
      </x:c>
      <x:c r="G15" s="20" t="n">
        <x:f>IFERROR(E15/C15,0)</x:f>
        <x:v>0.3875568122420737</x:v>
      </x:c>
      <x:c r="H15" t="str">
        <x:f>IF(E15&gt;0,"Profitable",IF(E15&lt;0,"Loss-Making","Break-even"))</x:f>
        <x:v>Profitable</x:v>
      </x:c>
    </x:row>
    <x:row r="16">
      <x:c r="A16" t="str">
        <x:v>Customer 015</x:v>
      </x:c>
      <x:c r="B16" s="18" t="n">
        <x:v>5990.16384</x:v>
      </x:c>
      <x:c r="C16" s="18" t="n">
        <x:v>13652.741256</x:v>
      </x:c>
      <x:c r="D16" s="18" t="n">
        <x:v>7770.7861744</x:v>
      </x:c>
      <x:c r="E16" s="18" t="n">
        <x:v>5881.955081599999</x:v>
      </x:c>
      <x:c r="F16" s="20" t="n">
        <x:f>IFERROR(E16/D16,0)</x:f>
        <x:v>0.7569317890868562</x:v>
      </x:c>
      <x:c r="G16" s="20" t="n">
        <x:f>IFERROR(E16/C16,0)</x:f>
        <x:v>0.4308259397368308</x:v>
      </x:c>
      <x:c r="H16" t="str">
        <x:f>IF(E16&gt;0,"Profitable",IF(E16&lt;0,"Loss-Making","Break-even"))</x:f>
        <x:v>Profitable</x:v>
      </x:c>
    </x:row>
    <x:row r="17">
      <x:c r="A17" t="str">
        <x:v>Customer 016</x:v>
      </x:c>
      <x:c r="B17" s="18" t="n">
        <x:v>586.87416</x:v>
      </x:c>
      <x:c r="C17" s="18" t="n">
        <x:v>4778.547216</x:v>
      </x:c>
      <x:c r="D17" s="18" t="n">
        <x:v>4200.10074</x:v>
      </x:c>
      <x:c r="E17" s="18" t="n">
        <x:v>578.446476</x:v>
      </x:c>
      <x:c r="F17" s="20" t="n">
        <x:f>IFERROR(E17/D17,0)</x:f>
        <x:v>0.13772204806687566</x:v>
      </x:c>
      <x:c r="G17" s="20" t="n">
        <x:f>IFERROR(E17/C17,0)</x:f>
        <x:v>0.12105069801616458</x:v>
      </x:c>
      <x:c r="H17" t="str">
        <x:f>IF(E17&gt;0,"Profitable",IF(E17&lt;0,"Loss-Making","Break-even"))</x:f>
        <x:v>Profitable</x:v>
      </x:c>
    </x:row>
    <x:row r="18">
      <x:c r="A18" t="str">
        <x:v>Customer 017</x:v>
      </x:c>
      <x:c r="B18" s="18" t="n">
        <x:v>7973.39376</x:v>
      </x:c>
      <x:c r="C18" s="18" t="n">
        <x:v>17035.643711999997</x:v>
      </x:c>
      <x:c r="D18" s="18" t="n">
        <x:v>9827.8407378</x:v>
      </x:c>
      <x:c r="E18" s="18" t="n">
        <x:v>7207.8029742</x:v>
      </x:c>
      <x:c r="F18" s="20" t="n">
        <x:f>IFERROR(E18/D18,0)</x:f>
        <x:v>0.7334065708327193</x:v>
      </x:c>
      <x:c r="G18" s="20" t="n">
        <x:f>IFERROR(E18/C18,0)</x:f>
        <x:v>0.4231012984336357</x:v>
      </x:c>
      <x:c r="H18" t="str">
        <x:f>IF(E18&gt;0,"Profitable",IF(E18&lt;0,"Loss-Making","Break-even"))</x:f>
        <x:v>Profitable</x:v>
      </x:c>
    </x:row>
  </x:sheetData>
  <x:conditionalFormatting sqref="H2:H18">
    <x:cfRule type="expression" dxfId="6" priority="1">
      <x:formula>H2="Profitable"</x:formula>
    </x:cfRule>
    <x:cfRule type="expression" dxfId="7" priority="2">
      <x:formula>H2="Loss-Making"</x:formula>
    </x:cfRule>
    <x:cfRule type="expression" dxfId="8" priority="3">
      <x:formula>H2="Break-even"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6" t="str">
        <x:v>SR NO</x:v>
      </x:c>
      <x:c r="B1" s="6" t="str">
        <x:v>CATEGORY</x:v>
      </x:c>
      <x:c r="C1" s="6" t="str">
        <x:v>Particulars</x:v>
      </x:c>
      <x:c r="D1" s="6" t="str">
        <x:v>ITEMS</x:v>
      </x:c>
      <x:c r="E1" s="6" t="str">
        <x:v>SKU CODE</x:v>
      </x:c>
      <x:c r="F1" s="6" t="str">
        <x:v>PCS PER CRTN</x:v>
      </x:c>
      <x:c r="G1" s="6" t="str">
        <x:v>NO OF CRTN</x:v>
      </x:c>
      <x:c r="H1" s="6" t="str">
        <x:v>PER CRTN RATE</x:v>
      </x:c>
      <x:c r="I1" s="6" t="str">
        <x:v>SINGLE UNIT PRICE</x:v>
      </x:c>
      <x:c r="J1" s="6" t="str">
        <x:v>TOTAL PCS</x:v>
      </x:c>
      <x:c r="K1" s="6" t="str">
        <x:v>INVENTORY VALUE</x:v>
      </x:c>
    </x:row>
    <x:row r="2">
      <x:c r="A2" t="n">
        <x:v>1</x:v>
      </x:c>
      <x:c r="B2" t="str">
        <x:v>Category</x:v>
      </x:c>
      <x:c r="C2" t="str">
        <x:v>Product 001</x:v>
      </x:c>
      <x:c r="D2" t="str">
        <x:v>Product 001</x:v>
      </x:c>
      <x:c r="E2" t="str">
        <x:v>SKU-001</x:v>
      </x:c>
      <x:c r="F2" t="n">
        <x:v>42</x:v>
      </x:c>
      <x:c r="G2" t="n">
        <x:v>1</x:v>
      </x:c>
      <x:c r="H2" s="18" t="n">
        <x:v>409.5</x:v>
      </x:c>
      <x:c r="I2" s="18" t="n">
        <x:f>IFERROR(H2/F2,0)</x:f>
        <x:v>9.75</x:v>
      </x:c>
      <x:c r="J2" s="18" t="n">
        <x:f>F2*G2</x:f>
        <x:v>42</x:v>
      </x:c>
      <x:c r="K2" s="18" t="n">
        <x:f>H2*G2</x:f>
        <x:v>409.5</x:v>
      </x:c>
    </x:row>
    <x:row r="3">
      <x:c r="A3" t="n">
        <x:v>2</x:v>
      </x:c>
      <x:c r="B3" t="str">
        <x:v>Category</x:v>
      </x:c>
      <x:c r="C3" t="str">
        <x:v>Product 002</x:v>
      </x:c>
      <x:c r="D3" t="str">
        <x:v>Product 002</x:v>
      </x:c>
      <x:c r="E3" t="str">
        <x:v>SKU-002</x:v>
      </x:c>
      <x:c r="F3" t="n">
        <x:v>36</x:v>
      </x:c>
      <x:c r="G3" t="n">
        <x:v>54</x:v>
      </x:c>
      <x:c r="H3" s="18" t="n">
        <x:v>212.4</x:v>
      </x:c>
      <x:c r="I3" s="18" t="n">
        <x:f>IFERROR(H3/F3,0)</x:f>
        <x:v>5.9</x:v>
      </x:c>
      <x:c r="J3" s="18" t="n">
        <x:f>F3*G3</x:f>
        <x:v>1944</x:v>
      </x:c>
      <x:c r="K3" s="18" t="n">
        <x:f>H3*G3</x:f>
        <x:v>11469.6</x:v>
      </x:c>
    </x:row>
    <x:row r="4">
      <x:c r="A4" t="n">
        <x:v>3</x:v>
      </x:c>
      <x:c r="B4" t="str">
        <x:v>Category</x:v>
      </x:c>
      <x:c r="C4" t="str">
        <x:v>Product 003</x:v>
      </x:c>
      <x:c r="D4" t="str">
        <x:v>Product 003</x:v>
      </x:c>
      <x:c r="E4" t="str">
        <x:v>SKU-003</x:v>
      </x:c>
      <x:c r="F4" t="n">
        <x:v>36</x:v>
      </x:c>
      <x:c r="G4" t="n">
        <x:v>54</x:v>
      </x:c>
      <x:c r="H4" s="18" t="n">
        <x:v>212.4</x:v>
      </x:c>
      <x:c r="I4" s="18" t="n">
        <x:f>IFERROR(H4/F4,0)</x:f>
        <x:v>5.9</x:v>
      </x:c>
      <x:c r="J4" s="18" t="n">
        <x:f>F4*G4</x:f>
        <x:v>1944</x:v>
      </x:c>
      <x:c r="K4" s="18" t="n">
        <x:f>H4*G4</x:f>
        <x:v>11469.6</x:v>
      </x:c>
    </x:row>
    <x:row r="5">
      <x:c r="A5" t="n">
        <x:v>4</x:v>
      </x:c>
      <x:c r="B5" t="str">
        <x:v>Category</x:v>
      </x:c>
      <x:c r="C5" t="str">
        <x:v>Product 004</x:v>
      </x:c>
      <x:c r="D5" t="str">
        <x:v>Product 004</x:v>
      </x:c>
      <x:c r="E5" t="str">
        <x:v>SKU-004</x:v>
      </x:c>
      <x:c r="F5" t="n">
        <x:v>36</x:v>
      </x:c>
      <x:c r="G5" t="n">
        <x:v>54</x:v>
      </x:c>
      <x:c r="H5" s="18" t="n">
        <x:v>212.4</x:v>
      </x:c>
      <x:c r="I5" s="18" t="n">
        <x:f>IFERROR(H5/F5,0)</x:f>
        <x:v>5.9</x:v>
      </x:c>
      <x:c r="J5" s="18" t="n">
        <x:f>F5*G5</x:f>
        <x:v>1944</x:v>
      </x:c>
      <x:c r="K5" s="18" t="n">
        <x:f>H5*G5</x:f>
        <x:v>11469.6</x:v>
      </x:c>
    </x:row>
    <x:row r="6">
      <x:c r="A6" t="n">
        <x:v>5</x:v>
      </x:c>
      <x:c r="B6" t="str">
        <x:v>Category</x:v>
      </x:c>
      <x:c r="C6" t="str">
        <x:v>Product 005</x:v>
      </x:c>
      <x:c r="D6" t="str">
        <x:v>Product 005</x:v>
      </x:c>
      <x:c r="E6" t="str">
        <x:v>SKU-005</x:v>
      </x:c>
      <x:c r="F6" t="n">
        <x:v>48</x:v>
      </x:c>
      <x:c r="G6" t="n">
        <x:v>1214</x:v>
      </x:c>
      <x:c r="H6" s="18" t="n">
        <x:v>64.8</x:v>
      </x:c>
      <x:c r="I6" s="18" t="n">
        <x:f>IFERROR(H6/F6,0)</x:f>
        <x:v>1.3499999999999999</x:v>
      </x:c>
      <x:c r="J6" s="18" t="n">
        <x:f>F6*G6</x:f>
        <x:v>58272</x:v>
      </x:c>
      <x:c r="K6" s="18" t="n">
        <x:f>H6*G6</x:f>
        <x:v>78667.2</x:v>
      </x:c>
    </x:row>
    <x:row r="7">
      <x:c r="A7" t="n">
        <x:v>6</x:v>
      </x:c>
      <x:c r="B7" t="str">
        <x:v>Category</x:v>
      </x:c>
      <x:c r="C7" t="str">
        <x:v>Product 006</x:v>
      </x:c>
      <x:c r="D7" t="str">
        <x:v>Product 006</x:v>
      </x:c>
      <x:c r="E7" t="str">
        <x:v>SKU-006</x:v>
      </x:c>
      <x:c r="F7" t="n">
        <x:v>48</x:v>
      </x:c>
      <x:c r="G7" t="n">
        <x:v>1214</x:v>
      </x:c>
      <x:c r="H7" s="18" t="n">
        <x:v>64.8</x:v>
      </x:c>
      <x:c r="I7" s="18" t="n">
        <x:f>IFERROR(H7/F7,0)</x:f>
        <x:v>1.3499999999999999</x:v>
      </x:c>
      <x:c r="J7" s="18" t="n">
        <x:f>F7*G7</x:f>
        <x:v>58272</x:v>
      </x:c>
      <x:c r="K7" s="18" t="n">
        <x:f>H7*G7</x:f>
        <x:v>78667.2</x:v>
      </x:c>
    </x:row>
    <x:row r="8">
      <x:c r="A8" t="n">
        <x:v>7</x:v>
      </x:c>
      <x:c r="B8" t="str">
        <x:v>Category</x:v>
      </x:c>
      <x:c r="C8" t="str">
        <x:v>Product 007</x:v>
      </x:c>
      <x:c r="D8" t="str">
        <x:v>Product 007</x:v>
      </x:c>
      <x:c r="E8" t="str">
        <x:v>SKU-007</x:v>
      </x:c>
      <x:c r="F8" t="n">
        <x:v>48</x:v>
      </x:c>
      <x:c r="G8" t="n">
        <x:v>1214</x:v>
      </x:c>
      <x:c r="H8" s="18" t="n">
        <x:v>64.8</x:v>
      </x:c>
      <x:c r="I8" s="18" t="n">
        <x:f>IFERROR(H8/F8,0)</x:f>
        <x:v>1.3499999999999999</x:v>
      </x:c>
      <x:c r="J8" s="18" t="n">
        <x:f>F8*G8</x:f>
        <x:v>58272</x:v>
      </x:c>
      <x:c r="K8" s="18" t="n">
        <x:f>H8*G8</x:f>
        <x:v>78667.2</x:v>
      </x:c>
    </x:row>
    <x:row r="9">
      <x:c r="A9" t="n">
        <x:v>8</x:v>
      </x:c>
      <x:c r="B9" t="str">
        <x:v>Category</x:v>
      </x:c>
      <x:c r="C9" t="str">
        <x:v>Product 008</x:v>
      </x:c>
      <x:c r="D9" t="str">
        <x:v>Product 008</x:v>
      </x:c>
      <x:c r="E9" t="str">
        <x:v>SKU-008</x:v>
      </x:c>
      <x:c r="F9" t="n">
        <x:v>48</x:v>
      </x:c>
      <x:c r="G9" t="n">
        <x:v>1214</x:v>
      </x:c>
      <x:c r="H9" s="18" t="n">
        <x:v>64.8</x:v>
      </x:c>
      <x:c r="I9" s="18" t="n">
        <x:f>IFERROR(H9/F9,0)</x:f>
        <x:v>1.3499999999999999</x:v>
      </x:c>
      <x:c r="J9" s="18" t="n">
        <x:f>F9*G9</x:f>
        <x:v>58272</x:v>
      </x:c>
      <x:c r="K9" s="18" t="n">
        <x:f>H9*G9</x:f>
        <x:v>78667.2</x:v>
      </x:c>
    </x:row>
    <x:row r="10">
      <x:c r="A10" t="n">
        <x:v>9</x:v>
      </x:c>
      <x:c r="B10" t="str">
        <x:v>Category</x:v>
      </x:c>
      <x:c r="C10" t="str">
        <x:v>Product 009</x:v>
      </x:c>
      <x:c r="D10" t="str">
        <x:v>Product 009</x:v>
      </x:c>
      <x:c r="E10" t="str">
        <x:v>SKU-009</x:v>
      </x:c>
      <x:c r="F10" t="n">
        <x:v>48</x:v>
      </x:c>
      <x:c r="G10" t="n">
        <x:v>1214</x:v>
      </x:c>
      <x:c r="H10" s="18" t="n">
        <x:v>64.8</x:v>
      </x:c>
      <x:c r="I10" s="18" t="n">
        <x:f>IFERROR(H10/F10,0)</x:f>
        <x:v>1.3499999999999999</x:v>
      </x:c>
      <x:c r="J10" s="18" t="n">
        <x:f>F10*G10</x:f>
        <x:v>58272</x:v>
      </x:c>
      <x:c r="K10" s="18" t="n">
        <x:f>H10*G10</x:f>
        <x:v>78667.2</x:v>
      </x:c>
    </x:row>
    <x:row r="11">
      <x:c r="A11" t="n">
        <x:v>10</x:v>
      </x:c>
      <x:c r="B11" t="str">
        <x:v>Category</x:v>
      </x:c>
      <x:c r="C11" t="str">
        <x:v>Product 010</x:v>
      </x:c>
      <x:c r="D11" t="str">
        <x:v>Product 010</x:v>
      </x:c>
      <x:c r="E11" t="str">
        <x:v>SKU-010</x:v>
      </x:c>
      <x:c r="F11" t="n">
        <x:v>48</x:v>
      </x:c>
      <x:c r="G11" t="n">
        <x:v>1214</x:v>
      </x:c>
      <x:c r="H11" s="18" t="n">
        <x:v>64.8</x:v>
      </x:c>
      <x:c r="I11" s="18" t="n">
        <x:f>IFERROR(H11/F11,0)</x:f>
        <x:v>1.3499999999999999</x:v>
      </x:c>
      <x:c r="J11" s="18" t="n">
        <x:f>F11*G11</x:f>
        <x:v>58272</x:v>
      </x:c>
      <x:c r="K11" s="18" t="n">
        <x:f>H11*G11</x:f>
        <x:v>78667.2</x:v>
      </x:c>
    </x:row>
    <x:row r="12">
      <x:c r="A12" t="n">
        <x:v>11</x:v>
      </x:c>
      <x:c r="B12" t="str">
        <x:v>Category</x:v>
      </x:c>
      <x:c r="C12" t="str">
        <x:v>Product 011</x:v>
      </x:c>
      <x:c r="D12" t="str">
        <x:v>Product 011</x:v>
      </x:c>
      <x:c r="E12" t="str">
        <x:v>SKU-011</x:v>
      </x:c>
      <x:c r="F12" t="n">
        <x:v>288</x:v>
      </x:c>
      <x:c r="G12" t="n">
        <x:v>200</x:v>
      </x:c>
      <x:c r="H12" s="18" t="n">
        <x:v>302.4</x:v>
      </x:c>
      <x:c r="I12" s="18" t="n">
        <x:f>IFERROR(H12/F12,0)</x:f>
        <x:v>1.0499999999999998</x:v>
      </x:c>
      <x:c r="J12" s="18" t="n">
        <x:f>F12*G12</x:f>
        <x:v>57600</x:v>
      </x:c>
      <x:c r="K12" s="18" t="n">
        <x:f>H12*G12</x:f>
        <x:v>60479.99999999999</x:v>
      </x:c>
    </x:row>
    <x:row r="13">
      <x:c r="A13" t="n">
        <x:v>12</x:v>
      </x:c>
      <x:c r="B13" t="str">
        <x:v>Category</x:v>
      </x:c>
      <x:c r="C13" t="str">
        <x:v>Product 012</x:v>
      </x:c>
      <x:c r="D13" t="str">
        <x:v>Product 012</x:v>
      </x:c>
      <x:c r="E13" t="str">
        <x:v>SKU-012</x:v>
      </x:c>
      <x:c r="F13" t="n">
        <x:v>1</x:v>
      </x:c>
      <x:c r="G13" t="n">
        <x:v>30</x:v>
      </x:c>
      <x:c r="H13" s="18" t="n">
        <x:v>0.01</x:v>
      </x:c>
      <x:c r="I13" s="18" t="n">
        <x:f>IFERROR(H13/F13,0)</x:f>
        <x:v>0.01</x:v>
      </x:c>
      <x:c r="J13" s="18" t="n">
        <x:f>F13*G13</x:f>
        <x:v>30</x:v>
      </x:c>
      <x:c r="K13" s="18" t="n">
        <x:f>H13*G13</x:f>
        <x:v>0.3</x:v>
      </x:c>
    </x:row>
    <x:row r="14">
      <x:c r="A14" t="n">
        <x:v>13</x:v>
      </x:c>
      <x:c r="B14" t="str">
        <x:v>Category</x:v>
      </x:c>
      <x:c r="C14" t="str">
        <x:v>Product 013</x:v>
      </x:c>
      <x:c r="D14" t="str">
        <x:v>Product 013</x:v>
      </x:c>
      <x:c r="E14" t="str">
        <x:v>SKU-013</x:v>
      </x:c>
      <x:c r="F14" t="n">
        <x:v>48</x:v>
      </x:c>
      <x:c r="G14" t="n">
        <x:v>152</x:v>
      </x:c>
      <x:c r="H14" s="18" t="n">
        <x:v>29.25</x:v>
      </x:c>
      <x:c r="I14" s="18" t="n">
        <x:f>IFERROR(H14/F14,0)</x:f>
        <x:v>0.609375</x:v>
      </x:c>
      <x:c r="J14" s="18" t="n">
        <x:f>F14*G14</x:f>
        <x:v>7296</x:v>
      </x:c>
      <x:c r="K14" s="18" t="n">
        <x:f>H14*G14</x:f>
        <x:v>4446</x:v>
      </x:c>
    </x:row>
    <x:row r="15">
      <x:c r="A15" t="n">
        <x:v>14</x:v>
      </x:c>
      <x:c r="B15" t="str">
        <x:v>Category</x:v>
      </x:c>
      <x:c r="C15" t="str">
        <x:v>Product 014</x:v>
      </x:c>
      <x:c r="D15" t="str">
        <x:v>Product 014</x:v>
      </x:c>
      <x:c r="E15" t="str">
        <x:v>SKU-014</x:v>
      </x:c>
      <x:c r="F15" t="n">
        <x:v>48</x:v>
      </x:c>
      <x:c r="G15" t="n">
        <x:v>152</x:v>
      </x:c>
      <x:c r="H15" s="18" t="n">
        <x:v>29.25</x:v>
      </x:c>
      <x:c r="I15" s="18" t="n">
        <x:f>IFERROR(H15/F15,0)</x:f>
        <x:v>0.609375</x:v>
      </x:c>
      <x:c r="J15" s="18" t="n">
        <x:f>F15*G15</x:f>
        <x:v>7296</x:v>
      </x:c>
      <x:c r="K15" s="18" t="n">
        <x:f>H15*G15</x:f>
        <x:v>4446</x:v>
      </x:c>
    </x:row>
    <x:row r="16">
      <x:c r="A16" t="n">
        <x:v>15</x:v>
      </x:c>
      <x:c r="B16" t="str">
        <x:v>Category</x:v>
      </x:c>
      <x:c r="C16" t="str">
        <x:v>Product 015</x:v>
      </x:c>
      <x:c r="D16" t="str">
        <x:v>Product 015</x:v>
      </x:c>
      <x:c r="E16" t="str">
        <x:v>SKU-015</x:v>
      </x:c>
      <x:c r="F16" t="n">
        <x:v>48</x:v>
      </x:c>
      <x:c r="G16" t="n">
        <x:v>152</x:v>
      </x:c>
      <x:c r="H16" s="18" t="n">
        <x:v>29.25</x:v>
      </x:c>
      <x:c r="I16" s="18" t="n">
        <x:f>IFERROR(H16/F16,0)</x:f>
        <x:v>0.609375</x:v>
      </x:c>
      <x:c r="J16" s="18" t="n">
        <x:f>F16*G16</x:f>
        <x:v>7296</x:v>
      </x:c>
      <x:c r="K16" s="18" t="n">
        <x:f>H16*G16</x:f>
        <x:v>4446</x:v>
      </x:c>
    </x:row>
    <x:row r="17">
      <x:c r="A17" t="n">
        <x:v>16</x:v>
      </x:c>
      <x:c r="B17" t="str">
        <x:v>Category</x:v>
      </x:c>
      <x:c r="C17" t="str">
        <x:v>Product 016</x:v>
      </x:c>
      <x:c r="D17" t="str">
        <x:v>Product 016</x:v>
      </x:c>
      <x:c r="E17" t="str">
        <x:v>SKU-016</x:v>
      </x:c>
      <x:c r="F17" t="n">
        <x:v>48</x:v>
      </x:c>
      <x:c r="G17" t="n">
        <x:v>152</x:v>
      </x:c>
      <x:c r="H17" s="18" t="n">
        <x:v>29.25</x:v>
      </x:c>
      <x:c r="I17" s="18" t="n">
        <x:f>IFERROR(H17/F17,0)</x:f>
        <x:v>0.609375</x:v>
      </x:c>
      <x:c r="J17" s="18" t="n">
        <x:f>F17*G17</x:f>
        <x:v>7296</x:v>
      </x:c>
      <x:c r="K17" s="18" t="n">
        <x:f>H17*G17</x:f>
        <x:v>4446</x:v>
      </x:c>
    </x:row>
    <x:row r="18">
      <x:c r="A18" t="n">
        <x:v>17</x:v>
      </x:c>
      <x:c r="B18" t="str">
        <x:v>Category</x:v>
      </x:c>
      <x:c r="C18" t="str">
        <x:v>Product 017</x:v>
      </x:c>
      <x:c r="D18" t="str">
        <x:v>Product 017</x:v>
      </x:c>
      <x:c r="E18" t="str">
        <x:v>SKU-017</x:v>
      </x:c>
      <x:c r="F18" t="n">
        <x:v>48</x:v>
      </x:c>
      <x:c r="G18" t="n">
        <x:v>152</x:v>
      </x:c>
      <x:c r="H18" s="18" t="n">
        <x:v>29.25</x:v>
      </x:c>
      <x:c r="I18" s="18" t="n">
        <x:f>IFERROR(H18/F18,0)</x:f>
        <x:v>0.609375</x:v>
      </x:c>
      <x:c r="J18" s="18" t="n">
        <x:f>F18*G18</x:f>
        <x:v>7296</x:v>
      </x:c>
      <x:c r="K18" s="18" t="n">
        <x:f>H18*G18</x:f>
        <x:v>4446</x:v>
      </x:c>
    </x:row>
    <x:row r="19">
      <x:c r="A19" t="n">
        <x:v>18</x:v>
      </x:c>
      <x:c r="B19" t="str">
        <x:v>Category</x:v>
      </x:c>
      <x:c r="C19" t="str">
        <x:v>Product 018</x:v>
      </x:c>
      <x:c r="D19" t="str">
        <x:v>Product 018</x:v>
      </x:c>
      <x:c r="E19" t="str">
        <x:v>SKU-018</x:v>
      </x:c>
      <x:c r="F19" t="n">
        <x:v>48</x:v>
      </x:c>
      <x:c r="G19" t="n">
        <x:v>152</x:v>
      </x:c>
      <x:c r="H19" s="18" t="n">
        <x:v>29.25</x:v>
      </x:c>
      <x:c r="I19" s="18" t="n">
        <x:f>IFERROR(H19/F19,0)</x:f>
        <x:v>0.609375</x:v>
      </x:c>
      <x:c r="J19" s="18" t="n">
        <x:f>F19*G19</x:f>
        <x:v>7296</x:v>
      </x:c>
      <x:c r="K19" s="18" t="n">
        <x:f>H19*G19</x:f>
        <x:v>4446</x:v>
      </x:c>
    </x:row>
    <x:row r="20">
      <x:c r="A20" t="n">
        <x:v>19</x:v>
      </x:c>
      <x:c r="B20" t="str">
        <x:v>Category</x:v>
      </x:c>
      <x:c r="C20" t="str">
        <x:v>Product 019</x:v>
      </x:c>
      <x:c r="D20" t="str">
        <x:v>Product 019</x:v>
      </x:c>
      <x:c r="E20" t="str">
        <x:v>SKU-019</x:v>
      </x:c>
      <x:c r="F20" t="n">
        <x:v>48</x:v>
      </x:c>
      <x:c r="G20" t="n">
        <x:v>126</x:v>
      </x:c>
      <x:c r="H20" s="18" t="n">
        <x:v>69.12</x:v>
      </x:c>
      <x:c r="I20" s="18" t="n">
        <x:f>IFERROR(H20/F20,0)</x:f>
        <x:v>1.4400000000000002</x:v>
      </x:c>
      <x:c r="J20" s="18" t="n">
        <x:f>F20*G20</x:f>
        <x:v>6048</x:v>
      </x:c>
      <x:c r="K20" s="18" t="n">
        <x:f>H20*G20</x:f>
        <x:v>8709.12</x:v>
      </x:c>
    </x:row>
    <x:row r="21">
      <x:c r="A21" t="n">
        <x:v>20</x:v>
      </x:c>
      <x:c r="B21" t="str">
        <x:v>Category</x:v>
      </x:c>
      <x:c r="C21" t="str">
        <x:v>Product 020</x:v>
      </x:c>
      <x:c r="D21" t="str">
        <x:v>Product 020</x:v>
      </x:c>
      <x:c r="E21" t="str">
        <x:v>SKU-020</x:v>
      </x:c>
      <x:c r="F21" t="n">
        <x:v>48</x:v>
      </x:c>
      <x:c r="G21" t="n">
        <x:v>126</x:v>
      </x:c>
      <x:c r="H21" s="18" t="n">
        <x:v>69.12</x:v>
      </x:c>
      <x:c r="I21" s="18" t="n">
        <x:f>IFERROR(H21/F21,0)</x:f>
        <x:v>1.4400000000000002</x:v>
      </x:c>
      <x:c r="J21" s="18" t="n">
        <x:f>F21*G21</x:f>
        <x:v>6048</x:v>
      </x:c>
      <x:c r="K21" s="18" t="n">
        <x:f>H21*G21</x:f>
        <x:v>8709.12</x:v>
      </x:c>
    </x:row>
    <x:row r="22">
      <x:c r="A22" t="n">
        <x:v>21</x:v>
      </x:c>
      <x:c r="B22" t="str">
        <x:v>Category</x:v>
      </x:c>
      <x:c r="C22" t="str">
        <x:v>Product 021</x:v>
      </x:c>
      <x:c r="D22" t="str">
        <x:v>Product 021</x:v>
      </x:c>
      <x:c r="E22" t="str">
        <x:v>SKU-021</x:v>
      </x:c>
      <x:c r="F22" t="n">
        <x:v>48</x:v>
      </x:c>
      <x:c r="G22" t="n">
        <x:v>126</x:v>
      </x:c>
      <x:c r="H22" s="18" t="n">
        <x:v>69.12</x:v>
      </x:c>
      <x:c r="I22" s="18" t="n">
        <x:f>IFERROR(H22/F22,0)</x:f>
        <x:v>1.4400000000000002</x:v>
      </x:c>
      <x:c r="J22" s="18" t="n">
        <x:f>F22*G22</x:f>
        <x:v>6048</x:v>
      </x:c>
      <x:c r="K22" s="18" t="n">
        <x:f>H22*G22</x:f>
        <x:v>8709.12</x:v>
      </x:c>
    </x:row>
    <x:row r="23">
      <x:c r="A23" t="n">
        <x:v>22</x:v>
      </x:c>
      <x:c r="B23" t="str">
        <x:v>Category</x:v>
      </x:c>
      <x:c r="C23" t="str">
        <x:v>Product 022</x:v>
      </x:c>
      <x:c r="D23" t="str">
        <x:v>Product 022</x:v>
      </x:c>
      <x:c r="E23" t="str">
        <x:v>SKU-022</x:v>
      </x:c>
      <x:c r="F23" t="n">
        <x:v>48</x:v>
      </x:c>
      <x:c r="G23" t="n">
        <x:v>126</x:v>
      </x:c>
      <x:c r="H23" s="18" t="n">
        <x:v>69.12</x:v>
      </x:c>
      <x:c r="I23" s="18" t="n">
        <x:f>IFERROR(H23/F23,0)</x:f>
        <x:v>1.4400000000000002</x:v>
      </x:c>
      <x:c r="J23" s="18" t="n">
        <x:f>F23*G23</x:f>
        <x:v>6048</x:v>
      </x:c>
      <x:c r="K23" s="18" t="n">
        <x:f>H23*G23</x:f>
        <x:v>8709.12</x:v>
      </x:c>
    </x:row>
    <x:row r="24">
      <x:c r="A24" t="n">
        <x:v>23</x:v>
      </x:c>
      <x:c r="B24" t="str">
        <x:v>Category</x:v>
      </x:c>
      <x:c r="C24" t="str">
        <x:v>Product 023</x:v>
      </x:c>
      <x:c r="D24" t="str">
        <x:v>Product 023</x:v>
      </x:c>
      <x:c r="E24" t="str">
        <x:v>SKU-023</x:v>
      </x:c>
      <x:c r="F24" t="n">
        <x:v>48</x:v>
      </x:c>
      <x:c r="G24" t="n">
        <x:v>160</x:v>
      </x:c>
      <x:c r="H24" s="18" t="n">
        <x:v>92.16</x:v>
      </x:c>
      <x:c r="I24" s="18" t="n">
        <x:f>IFERROR(H24/F24,0)</x:f>
        <x:v>1.92</x:v>
      </x:c>
      <x:c r="J24" s="18" t="n">
        <x:f>F24*G24</x:f>
        <x:v>7680</x:v>
      </x:c>
      <x:c r="K24" s="18" t="n">
        <x:f>H24*G24</x:f>
        <x:v>14745.599999999999</x:v>
      </x:c>
    </x:row>
    <x:row r="25">
      <x:c r="A25" t="n">
        <x:v>24</x:v>
      </x:c>
      <x:c r="B25" t="str">
        <x:v>Category</x:v>
      </x:c>
      <x:c r="C25" t="str">
        <x:v>Product 024</x:v>
      </x:c>
      <x:c r="D25" t="str">
        <x:v>Product 024</x:v>
      </x:c>
      <x:c r="E25" t="str">
        <x:v>SKU-024</x:v>
      </x:c>
      <x:c r="F25" t="n">
        <x:v>48</x:v>
      </x:c>
      <x:c r="G25" t="n">
        <x:v>120</x:v>
      </x:c>
      <x:c r="H25" s="18" t="n">
        <x:v>79.2</x:v>
      </x:c>
      <x:c r="I25" s="18" t="n">
        <x:f>IFERROR(H25/F25,0)</x:f>
        <x:v>1.6500000000000001</x:v>
      </x:c>
      <x:c r="J25" s="18" t="n">
        <x:f>F25*G25</x:f>
        <x:v>5760</x:v>
      </x:c>
      <x:c r="K25" s="18" t="n">
        <x:f>H25*G25</x:f>
        <x:v>9504</x:v>
      </x:c>
    </x:row>
    <x:row r="26">
      <x:c r="A26" t="n">
        <x:v>25</x:v>
      </x:c>
      <x:c r="B26" t="str">
        <x:v>Category</x:v>
      </x:c>
      <x:c r="C26" t="str">
        <x:v>Product 025</x:v>
      </x:c>
      <x:c r="D26" t="str">
        <x:v>Product 025</x:v>
      </x:c>
      <x:c r="E26" t="str">
        <x:v>SKU-025</x:v>
      </x:c>
      <x:c r="F26" t="n">
        <x:v>48</x:v>
      </x:c>
      <x:c r="G26" t="n">
        <x:v>120</x:v>
      </x:c>
      <x:c r="H26" s="18" t="n">
        <x:v>79.2</x:v>
      </x:c>
      <x:c r="I26" s="18" t="n">
        <x:f>IFERROR(H26/F26,0)</x:f>
        <x:v>1.6500000000000001</x:v>
      </x:c>
      <x:c r="J26" s="18" t="n">
        <x:f>F26*G26</x:f>
        <x:v>5760</x:v>
      </x:c>
      <x:c r="K26" s="18" t="n">
        <x:f>H26*G26</x:f>
        <x:v>9504</x:v>
      </x:c>
    </x:row>
    <x:row r="27">
      <x:c r="A27" t="n">
        <x:v>26</x:v>
      </x:c>
      <x:c r="B27" t="str">
        <x:v>Category</x:v>
      </x:c>
      <x:c r="C27" t="str">
        <x:v>Product 026</x:v>
      </x:c>
      <x:c r="D27" t="str">
        <x:v>Product 026</x:v>
      </x:c>
      <x:c r="E27" t="str">
        <x:v>SKU-026</x:v>
      </x:c>
      <x:c r="F27" t="n">
        <x:v>48</x:v>
      </x:c>
      <x:c r="G27" t="n">
        <x:v>270</x:v>
      </x:c>
      <x:c r="H27" s="18" t="n">
        <x:v>79.2</x:v>
      </x:c>
      <x:c r="I27" s="18" t="n">
        <x:f>IFERROR(H27/F27,0)</x:f>
        <x:v>1.6500000000000001</x:v>
      </x:c>
      <x:c r="J27" s="18" t="n">
        <x:f>F27*G27</x:f>
        <x:v>12960</x:v>
      </x:c>
      <x:c r="K27" s="18" t="n">
        <x:f>H27*G27</x:f>
        <x:v>21384</x:v>
      </x:c>
    </x:row>
    <x:row r="28">
      <x:c r="A28" t="n">
        <x:v>27</x:v>
      </x:c>
      <x:c r="B28" t="str">
        <x:v>Category</x:v>
      </x:c>
      <x:c r="C28" t="str">
        <x:v>Product 027</x:v>
      </x:c>
      <x:c r="D28" t="str">
        <x:v>Product 027</x:v>
      </x:c>
      <x:c r="E28" t="str">
        <x:v>SKU-027</x:v>
      </x:c>
      <x:c r="F28" t="n">
        <x:v>48</x:v>
      </x:c>
      <x:c r="G28" t="n">
        <x:v>240</x:v>
      </x:c>
      <x:c r="H28" s="18" t="n">
        <x:v>79.2</x:v>
      </x:c>
      <x:c r="I28" s="18" t="n">
        <x:f>IFERROR(H28/F28,0)</x:f>
        <x:v>1.6500000000000001</x:v>
      </x:c>
      <x:c r="J28" s="18" t="n">
        <x:f>F28*G28</x:f>
        <x:v>11520</x:v>
      </x:c>
      <x:c r="K28" s="18" t="n">
        <x:f>H28*G28</x:f>
        <x:v>19008</x:v>
      </x:c>
    </x:row>
    <x:row r="29">
      <x:c r="A29" t="n">
        <x:v>28</x:v>
      </x:c>
      <x:c r="B29" t="str">
        <x:v>Category</x:v>
      </x:c>
      <x:c r="C29" t="str">
        <x:v>Product 028</x:v>
      </x:c>
      <x:c r="D29" t="str">
        <x:v>Product 028</x:v>
      </x:c>
      <x:c r="E29" t="str">
        <x:v>SKU-028</x:v>
      </x:c>
      <x:c r="F29" t="n">
        <x:v>48</x:v>
      </x:c>
      <x:c r="G29" t="n">
        <x:v>240</x:v>
      </x:c>
      <x:c r="H29" s="18" t="n">
        <x:v>79.2</x:v>
      </x:c>
      <x:c r="I29" s="18" t="n">
        <x:f>IFERROR(H29/F29,0)</x:f>
        <x:v>1.6500000000000001</x:v>
      </x:c>
      <x:c r="J29" s="18" t="n">
        <x:f>F29*G29</x:f>
        <x:v>11520</x:v>
      </x:c>
      <x:c r="K29" s="18" t="n">
        <x:f>H29*G29</x:f>
        <x:v>19008</x:v>
      </x:c>
    </x:row>
    <x:row r="30">
      <x:c r="A30" t="n">
        <x:v>29</x:v>
      </x:c>
      <x:c r="B30" t="str">
        <x:v>Category</x:v>
      </x:c>
      <x:c r="C30" t="str">
        <x:v>Product 029</x:v>
      </x:c>
      <x:c r="D30" t="str">
        <x:v>Product 029</x:v>
      </x:c>
      <x:c r="E30" t="str">
        <x:v>SKU-029</x:v>
      </x:c>
      <x:c r="F30" t="n">
        <x:v>48</x:v>
      </x:c>
      <x:c r="G30" t="n">
        <x:v>270</x:v>
      </x:c>
      <x:c r="H30" s="18" t="n">
        <x:v>79.2</x:v>
      </x:c>
      <x:c r="I30" s="18" t="n">
        <x:f>IFERROR(H30/F30,0)</x:f>
        <x:v>1.6500000000000001</x:v>
      </x:c>
      <x:c r="J30" s="18" t="n">
        <x:f>F30*G30</x:f>
        <x:v>12960</x:v>
      </x:c>
      <x:c r="K30" s="18" t="n">
        <x:f>H30*G30</x:f>
        <x:v>21384</x:v>
      </x:c>
    </x:row>
    <x:row r="31">
      <x:c r="A31" t="n">
        <x:v>30</x:v>
      </x:c>
      <x:c r="B31" t="str">
        <x:v>Category</x:v>
      </x:c>
      <x:c r="C31" t="str">
        <x:v>Product 030</x:v>
      </x:c>
      <x:c r="D31" t="str">
        <x:v>Product 030</x:v>
      </x:c>
      <x:c r="E31" t="str">
        <x:v>SKU-030</x:v>
      </x:c>
      <x:c r="F31" t="n">
        <x:v>48</x:v>
      </x:c>
      <x:c r="G31" t="n">
        <x:v>270</x:v>
      </x:c>
      <x:c r="H31" s="18" t="n">
        <x:v>79.2</x:v>
      </x:c>
      <x:c r="I31" s="18" t="n">
        <x:f>IFERROR(H31/F31,0)</x:f>
        <x:v>1.6500000000000001</x:v>
      </x:c>
      <x:c r="J31" s="18" t="n">
        <x:f>F31*G31</x:f>
        <x:v>12960</x:v>
      </x:c>
      <x:c r="K31" s="18" t="n">
        <x:f>H31*G31</x:f>
        <x:v>21384</x:v>
      </x:c>
    </x:row>
    <x:row r="32">
      <x:c r="A32" t="n">
        <x:v>31</x:v>
      </x:c>
      <x:c r="B32" t="str">
        <x:v>Category</x:v>
      </x:c>
      <x:c r="C32" t="str">
        <x:v>Product 031</x:v>
      </x:c>
      <x:c r="D32" t="str">
        <x:v>Product 031</x:v>
      </x:c>
      <x:c r="E32" t="str">
        <x:v>SKU-031</x:v>
      </x:c>
      <x:c r="F32" t="n">
        <x:v>48</x:v>
      </x:c>
      <x:c r="G32" t="n">
        <x:v>160</x:v>
      </x:c>
      <x:c r="H32" s="18" t="n">
        <x:v>92.16</x:v>
      </x:c>
      <x:c r="I32" s="18" t="n">
        <x:f>IFERROR(H32/F32,0)</x:f>
        <x:v>1.92</x:v>
      </x:c>
      <x:c r="J32" s="18" t="n">
        <x:f>F32*G32</x:f>
        <x:v>7680</x:v>
      </x:c>
      <x:c r="K32" s="18" t="n">
        <x:f>H32*G32</x:f>
        <x:v>14745.599999999999</x:v>
      </x:c>
    </x:row>
    <x:row r="33">
      <x:c r="A33" t="n">
        <x:v>32</x:v>
      </x:c>
      <x:c r="B33" t="str">
        <x:v>Category</x:v>
      </x:c>
      <x:c r="C33" t="str">
        <x:v>Product 032</x:v>
      </x:c>
      <x:c r="D33" t="str">
        <x:v>Product 032</x:v>
      </x:c>
      <x:c r="E33" t="str">
        <x:v>SKU-032</x:v>
      </x:c>
      <x:c r="F33" t="n">
        <x:v>48</x:v>
      </x:c>
      <x:c r="G33" t="n">
        <x:v>160</x:v>
      </x:c>
      <x:c r="H33" s="18" t="n">
        <x:v>92.16</x:v>
      </x:c>
      <x:c r="I33" s="18" t="n">
        <x:f>IFERROR(H33/F33,0)</x:f>
        <x:v>1.92</x:v>
      </x:c>
      <x:c r="J33" s="18" t="n">
        <x:f>F33*G33</x:f>
        <x:v>7680</x:v>
      </x:c>
      <x:c r="K33" s="18" t="n">
        <x:f>H33*G33</x:f>
        <x:v>14745.599999999999</x:v>
      </x:c>
    </x:row>
    <x:row r="34">
      <x:c r="A34" t="n">
        <x:v>33</x:v>
      </x:c>
      <x:c r="B34" t="str">
        <x:v>Category</x:v>
      </x:c>
      <x:c r="C34" t="str">
        <x:v>Product 033</x:v>
      </x:c>
      <x:c r="D34" t="str">
        <x:v>Product 033</x:v>
      </x:c>
      <x:c r="E34" t="str">
        <x:v>SKU-033</x:v>
      </x:c>
      <x:c r="F34" t="n">
        <x:v>48</x:v>
      </x:c>
      <x:c r="G34" t="n">
        <x:v>160</x:v>
      </x:c>
      <x:c r="H34" s="18" t="n">
        <x:v>92.16</x:v>
      </x:c>
      <x:c r="I34" s="18" t="n">
        <x:f>IFERROR(H34/F34,0)</x:f>
        <x:v>1.92</x:v>
      </x:c>
      <x:c r="J34" s="18" t="n">
        <x:f>F34*G34</x:f>
        <x:v>7680</x:v>
      </x:c>
      <x:c r="K34" s="18" t="n">
        <x:f>H34*G34</x:f>
        <x:v>14745.599999999999</x:v>
      </x:c>
    </x:row>
    <x:row r="35">
      <x:c r="A35" t="n">
        <x:v>34</x:v>
      </x:c>
      <x:c r="B35" t="str">
        <x:v>Category</x:v>
      </x:c>
      <x:c r="C35" t="str">
        <x:v>Product 034</x:v>
      </x:c>
      <x:c r="D35" t="str">
        <x:v>Product 034</x:v>
      </x:c>
      <x:c r="E35" t="str">
        <x:v>SKU-034</x:v>
      </x:c>
      <x:c r="F35" t="n">
        <x:v>48</x:v>
      </x:c>
      <x:c r="G35" t="n">
        <x:v>160</x:v>
      </x:c>
      <x:c r="H35" s="18" t="n">
        <x:v>92.16</x:v>
      </x:c>
      <x:c r="I35" s="18" t="n">
        <x:f>IFERROR(H35/F35,0)</x:f>
        <x:v>1.92</x:v>
      </x:c>
      <x:c r="J35" s="18" t="n">
        <x:f>F35*G35</x:f>
        <x:v>7680</x:v>
      </x:c>
      <x:c r="K35" s="18" t="n">
        <x:f>H35*G35</x:f>
        <x:v>14745.599999999999</x:v>
      </x:c>
    </x:row>
    <x:row r="36">
      <x:c r="A36" t="n">
        <x:v>35</x:v>
      </x:c>
      <x:c r="B36" t="str">
        <x:v>Category</x:v>
      </x:c>
      <x:c r="C36" t="str">
        <x:v>Product 035</x:v>
      </x:c>
      <x:c r="D36" t="str">
        <x:v>Product 035</x:v>
      </x:c>
      <x:c r="E36" t="str">
        <x:v>SKU-035</x:v>
      </x:c>
      <x:c r="F36" t="n">
        <x:v>48</x:v>
      </x:c>
      <x:c r="G36" t="n">
        <x:v>160</x:v>
      </x:c>
      <x:c r="H36" s="18" t="n">
        <x:v>92.16</x:v>
      </x:c>
      <x:c r="I36" s="18" t="n">
        <x:f>IFERROR(H36/F36,0)</x:f>
        <x:v>1.92</x:v>
      </x:c>
      <x:c r="J36" s="18" t="n">
        <x:f>F36*G36</x:f>
        <x:v>7680</x:v>
      </x:c>
      <x:c r="K36" s="18" t="n">
        <x:f>H36*G36</x:f>
        <x:v>14745.599999999999</x:v>
      </x:c>
    </x:row>
    <x:row r="37">
      <x:c r="A37" t="n">
        <x:v>36</x:v>
      </x:c>
      <x:c r="B37" t="str">
        <x:v>Category</x:v>
      </x:c>
      <x:c r="C37" t="str">
        <x:v>Product 036</x:v>
      </x:c>
      <x:c r="D37" t="str">
        <x:v>Product 036</x:v>
      </x:c>
      <x:c r="E37" t="str">
        <x:v>SKU-036</x:v>
      </x:c>
      <x:c r="F37" t="n">
        <x:v>48</x:v>
      </x:c>
      <x:c r="G37" t="n">
        <x:v>160</x:v>
      </x:c>
      <x:c r="H37" s="18" t="n">
        <x:v>92.16</x:v>
      </x:c>
      <x:c r="I37" s="18" t="n">
        <x:f>IFERROR(H37/F37,0)</x:f>
        <x:v>1.92</x:v>
      </x:c>
      <x:c r="J37" s="18" t="n">
        <x:f>F37*G37</x:f>
        <x:v>7680</x:v>
      </x:c>
      <x:c r="K37" s="18" t="n">
        <x:f>H37*G37</x:f>
        <x:v>14745.599999999999</x:v>
      </x:c>
    </x:row>
    <x:row r="38">
      <x:c r="A38" t="n">
        <x:v>37</x:v>
      </x:c>
      <x:c r="B38" t="str">
        <x:v>Category</x:v>
      </x:c>
      <x:c r="C38" t="str">
        <x:v>Product 037</x:v>
      </x:c>
      <x:c r="D38" t="str">
        <x:v>Product 037</x:v>
      </x:c>
      <x:c r="E38" t="str">
        <x:v>SKU-037</x:v>
      </x:c>
      <x:c r="F38" t="n">
        <x:v>48</x:v>
      </x:c>
      <x:c r="G38" t="n">
        <x:v>123</x:v>
      </x:c>
      <x:c r="H38" s="18" t="n">
        <x:v>92.16</x:v>
      </x:c>
      <x:c r="I38" s="18" t="n">
        <x:f>IFERROR(H38/F38,0)</x:f>
        <x:v>1.92</x:v>
      </x:c>
      <x:c r="J38" s="18" t="n">
        <x:f>F38*G38</x:f>
        <x:v>5904</x:v>
      </x:c>
      <x:c r="K38" s="18" t="n">
        <x:f>H38*G38</x:f>
        <x:v>11335.68</x:v>
      </x:c>
    </x:row>
    <x:row r="39">
      <x:c r="A39" t="n">
        <x:v>38</x:v>
      </x:c>
      <x:c r="B39" t="str">
        <x:v>Category</x:v>
      </x:c>
      <x:c r="C39" t="str">
        <x:v>Product 038</x:v>
      </x:c>
      <x:c r="D39" t="str">
        <x:v>Product 038</x:v>
      </x:c>
      <x:c r="E39" t="str">
        <x:v>SKU-038</x:v>
      </x:c>
      <x:c r="F39" t="n">
        <x:v>48</x:v>
      </x:c>
      <x:c r="G39" t="n">
        <x:v>108</x:v>
      </x:c>
      <x:c r="H39" s="18" t="n">
        <x:v>69.12</x:v>
      </x:c>
      <x:c r="I39" s="18" t="n">
        <x:f>IFERROR(H39/F39,0)</x:f>
        <x:v>1.4400000000000002</x:v>
      </x:c>
      <x:c r="J39" s="18" t="n">
        <x:f>F39*G39</x:f>
        <x:v>5184</x:v>
      </x:c>
      <x:c r="K39" s="18" t="n">
        <x:f>H39*G39</x:f>
        <x:v>7464.960000000001</x:v>
      </x:c>
    </x:row>
    <x:row r="40">
      <x:c r="A40" t="n">
        <x:v>39</x:v>
      </x:c>
      <x:c r="B40" t="str">
        <x:v>Category</x:v>
      </x:c>
      <x:c r="C40" t="str">
        <x:v>Product 039</x:v>
      </x:c>
      <x:c r="D40" t="str">
        <x:v>Product 039</x:v>
      </x:c>
      <x:c r="E40" t="str">
        <x:v>SKU-039</x:v>
      </x:c>
      <x:c r="F40" t="n">
        <x:v>48</x:v>
      </x:c>
      <x:c r="G40" t="n">
        <x:v>108</x:v>
      </x:c>
      <x:c r="H40" s="18" t="n">
        <x:v>69.12</x:v>
      </x:c>
      <x:c r="I40" s="18" t="n">
        <x:f>IFERROR(H40/F40,0)</x:f>
        <x:v>1.4400000000000002</x:v>
      </x:c>
      <x:c r="J40" s="18" t="n">
        <x:f>F40*G40</x:f>
        <x:v>5184</x:v>
      </x:c>
      <x:c r="K40" s="18" t="n">
        <x:f>H40*G40</x:f>
        <x:v>7464.960000000001</x:v>
      </x:c>
    </x:row>
    <x:row r="41">
      <x:c r="A41" t="n">
        <x:v>40</x:v>
      </x:c>
      <x:c r="B41" t="str">
        <x:v>Category</x:v>
      </x:c>
      <x:c r="C41" t="str">
        <x:v>Product 040</x:v>
      </x:c>
      <x:c r="D41" t="str">
        <x:v>Product 040</x:v>
      </x:c>
      <x:c r="E41" t="str">
        <x:v>SKU-040</x:v>
      </x:c>
      <x:c r="F41" t="n">
        <x:v>48</x:v>
      </x:c>
      <x:c r="G41" t="n">
        <x:v>108</x:v>
      </x:c>
      <x:c r="H41" s="18" t="n">
        <x:v>69.12</x:v>
      </x:c>
      <x:c r="I41" s="18" t="n">
        <x:f>IFERROR(H41/F41,0)</x:f>
        <x:v>1.4400000000000002</x:v>
      </x:c>
      <x:c r="J41" s="18" t="n">
        <x:f>F41*G41</x:f>
        <x:v>5184</x:v>
      </x:c>
      <x:c r="K41" s="18" t="n">
        <x:f>H41*G41</x:f>
        <x:v>7464.960000000001</x:v>
      </x:c>
    </x:row>
    <x:row r="42">
      <x:c r="A42" t="n">
        <x:v>41</x:v>
      </x:c>
      <x:c r="B42" t="str">
        <x:v>Category</x:v>
      </x:c>
      <x:c r="C42" t="str">
        <x:v>Product 041</x:v>
      </x:c>
      <x:c r="D42" t="str">
        <x:v>Product 041</x:v>
      </x:c>
      <x:c r="E42" t="str">
        <x:v>SKU-041</x:v>
      </x:c>
      <x:c r="F42" t="n">
        <x:v>48</x:v>
      </x:c>
      <x:c r="G42" t="n">
        <x:v>108</x:v>
      </x:c>
      <x:c r="H42" s="18" t="n">
        <x:v>69.12</x:v>
      </x:c>
      <x:c r="I42" s="18" t="n">
        <x:f>IFERROR(H42/F42,0)</x:f>
        <x:v>1.4400000000000002</x:v>
      </x:c>
      <x:c r="J42" s="18" t="n">
        <x:f>F42*G42</x:f>
        <x:v>5184</x:v>
      </x:c>
      <x:c r="K42" s="18" t="n">
        <x:f>H42*G42</x:f>
        <x:v>7464.960000000001</x:v>
      </x:c>
    </x:row>
    <x:row r="43">
      <x:c r="A43" t="n">
        <x:v>42</x:v>
      </x:c>
      <x:c r="B43" t="str">
        <x:v>Category</x:v>
      </x:c>
      <x:c r="C43" t="str">
        <x:v>Product 042</x:v>
      </x:c>
      <x:c r="D43" t="str">
        <x:v>Product 042</x:v>
      </x:c>
      <x:c r="E43" t="str">
        <x:v>SKU-042</x:v>
      </x:c>
      <x:c r="F43" t="n">
        <x:v>36</x:v>
      </x:c>
      <x:c r="G43" t="n">
        <x:v>30</x:v>
      </x:c>
      <x:c r="H43" s="18" t="n">
        <x:v>212.4</x:v>
      </x:c>
      <x:c r="I43" s="18" t="n">
        <x:f>IFERROR(H43/F43,0)</x:f>
        <x:v>5.9</x:v>
      </x:c>
      <x:c r="J43" s="18" t="n">
        <x:f>F43*G43</x:f>
        <x:v>1080</x:v>
      </x:c>
      <x:c r="K43" s="18" t="n">
        <x:f>H43*G43</x:f>
        <x:v>6372</x:v>
      </x:c>
    </x:row>
    <x:row r="44">
      <x:c r="A44" t="n">
        <x:v>43</x:v>
      </x:c>
      <x:c r="B44" t="str">
        <x:v>Category</x:v>
      </x:c>
      <x:c r="C44" t="str">
        <x:v>Product 043</x:v>
      </x:c>
      <x:c r="D44" t="str">
        <x:v>Product 043</x:v>
      </x:c>
      <x:c r="E44" t="str">
        <x:v>SKU-043</x:v>
      </x:c>
      <x:c r="F44" t="n">
        <x:v>36</x:v>
      </x:c>
      <x:c r="G44" t="n">
        <x:v>30</x:v>
      </x:c>
      <x:c r="H44" s="18" t="n">
        <x:v>212.4</x:v>
      </x:c>
      <x:c r="I44" s="18" t="n">
        <x:f>IFERROR(H44/F44,0)</x:f>
        <x:v>5.9</x:v>
      </x:c>
      <x:c r="J44" s="18" t="n">
        <x:f>F44*G44</x:f>
        <x:v>1080</x:v>
      </x:c>
      <x:c r="K44" s="18" t="n">
        <x:f>H44*G44</x:f>
        <x:v>6372</x:v>
      </x:c>
    </x:row>
    <x:row r="45">
      <x:c r="A45" t="n">
        <x:v>44</x:v>
      </x:c>
      <x:c r="B45" t="str">
        <x:v>Category</x:v>
      </x:c>
      <x:c r="C45" t="str">
        <x:v>Product 044</x:v>
      </x:c>
      <x:c r="D45" t="str">
        <x:v>Product 044</x:v>
      </x:c>
      <x:c r="E45" t="str">
        <x:v>SKU-044</x:v>
      </x:c>
      <x:c r="F45" t="n">
        <x:v>36</x:v>
      </x:c>
      <x:c r="G45" t="n">
        <x:v>30</x:v>
      </x:c>
      <x:c r="H45" s="18" t="n">
        <x:v>212.4</x:v>
      </x:c>
      <x:c r="I45" s="18" t="n">
        <x:f>IFERROR(H45/F45,0)</x:f>
        <x:v>5.9</x:v>
      </x:c>
      <x:c r="J45" s="18" t="n">
        <x:f>F45*G45</x:f>
        <x:v>1080</x:v>
      </x:c>
      <x:c r="K45" s="18" t="n">
        <x:f>H45*G45</x:f>
        <x:v>6372</x:v>
      </x:c>
    </x:row>
    <x:row r="46">
      <x:c r="A46" t="n">
        <x:v>45</x:v>
      </x:c>
      <x:c r="B46" t="str">
        <x:v>Category</x:v>
      </x:c>
      <x:c r="C46" t="str">
        <x:v>Product 045</x:v>
      </x:c>
      <x:c r="D46" t="str">
        <x:v>Product 045</x:v>
      </x:c>
      <x:c r="E46" t="str">
        <x:v>SKU-045</x:v>
      </x:c>
      <x:c r="F46" t="n">
        <x:v>36</x:v>
      </x:c>
      <x:c r="G46" t="n">
        <x:v>30</x:v>
      </x:c>
      <x:c r="H46" s="18" t="n">
        <x:v>212.4</x:v>
      </x:c>
      <x:c r="I46" s="18" t="n">
        <x:f>IFERROR(H46/F46,0)</x:f>
        <x:v>5.9</x:v>
      </x:c>
      <x:c r="J46" s="18" t="n">
        <x:f>F46*G46</x:f>
        <x:v>1080</x:v>
      </x:c>
      <x:c r="K46" s="18" t="n">
        <x:f>H46*G46</x:f>
        <x:v>6372</x:v>
      </x:c>
    </x:row>
    <x:row r="47">
      <x:c r="A47" t="n">
        <x:v>46</x:v>
      </x:c>
      <x:c r="B47" t="str">
        <x:v>Category</x:v>
      </x:c>
      <x:c r="C47" t="str">
        <x:v>Product 046</x:v>
      </x:c>
      <x:c r="D47" t="str">
        <x:v>Product 046</x:v>
      </x:c>
      <x:c r="E47" t="str">
        <x:v>SKU-046</x:v>
      </x:c>
      <x:c r="F47" t="n">
        <x:v>36</x:v>
      </x:c>
      <x:c r="G47" t="n">
        <x:v>112</x:v>
      </x:c>
      <x:c r="H47" s="18" t="n">
        <x:v>195.71</x:v>
      </x:c>
      <x:c r="I47" s="18" t="n">
        <x:f>IFERROR(H47/F47,0)</x:f>
        <x:v>5.436388888888889</x:v>
      </x:c>
      <x:c r="J47" s="18" t="n">
        <x:f>F47*G47</x:f>
        <x:v>4032</x:v>
      </x:c>
      <x:c r="K47" s="18" t="n">
        <x:f>H47*G47</x:f>
        <x:v>21919.52</x:v>
      </x:c>
    </x:row>
    <x:row r="48">
      <x:c r="A48" t="n">
        <x:v>48</x:v>
      </x:c>
      <x:c r="B48" t="str">
        <x:v>Category</x:v>
      </x:c>
      <x:c r="C48" t="str">
        <x:v>Product 047</x:v>
      </x:c>
      <x:c r="D48" t="str">
        <x:v>Product 047</x:v>
      </x:c>
      <x:c r="E48" t="str">
        <x:v>SKU-047</x:v>
      </x:c>
      <x:c r="F48" t="n">
        <x:v>36</x:v>
      </x:c>
      <x:c r="G48" t="n">
        <x:v>96</x:v>
      </x:c>
      <x:c r="H48" s="18" t="n">
        <x:v>189.6</x:v>
      </x:c>
      <x:c r="I48" s="18" t="n">
        <x:f>IFERROR(H48/F48,0)</x:f>
        <x:v>5.266666666666667</x:v>
      </x:c>
      <x:c r="J48" s="18" t="n">
        <x:f>F48*G48</x:f>
        <x:v>3456</x:v>
      </x:c>
      <x:c r="K48" s="18" t="n">
        <x:f>H48*G48</x:f>
        <x:v>18201.6</x:v>
      </x:c>
    </x:row>
    <x:row r="49">
      <x:c r="A49" t="n">
        <x:v>49</x:v>
      </x:c>
      <x:c r="B49" t="str">
        <x:v>Category</x:v>
      </x:c>
      <x:c r="C49" t="str">
        <x:v>Product 048</x:v>
      </x:c>
      <x:c r="D49" t="str">
        <x:v>Product 048</x:v>
      </x:c>
      <x:c r="E49" t="str">
        <x:v>SKU-048</x:v>
      </x:c>
      <x:c r="F49" t="n">
        <x:v>36</x:v>
      </x:c>
      <x:c r="G49" t="n">
        <x:v>98</x:v>
      </x:c>
      <x:c r="H49" s="18" t="n">
        <x:v>193.09</x:v>
      </x:c>
      <x:c r="I49" s="18" t="n">
        <x:f>IFERROR(H49/F49,0)</x:f>
        <x:v>5.363611111111111</x:v>
      </x:c>
      <x:c r="J49" s="18" t="n">
        <x:f>F49*G49</x:f>
        <x:v>3528</x:v>
      </x:c>
      <x:c r="K49" s="18" t="n">
        <x:f>H49*G49</x:f>
        <x:v>18922.82</x:v>
      </x:c>
    </x:row>
    <x:row r="50">
      <x:c r="A50" t="n">
        <x:v>50</x:v>
      </x:c>
      <x:c r="B50" t="str">
        <x:v>Category</x:v>
      </x:c>
      <x:c r="C50" t="str">
        <x:v>Product 049</x:v>
      </x:c>
      <x:c r="D50" t="str">
        <x:v>Product 049</x:v>
      </x:c>
      <x:c r="E50" t="str">
        <x:v>SKU-049</x:v>
      </x:c>
      <x:c r="F50" t="n">
        <x:v>36</x:v>
      </x:c>
      <x:c r="G50" t="n">
        <x:v>98</x:v>
      </x:c>
      <x:c r="H50" s="18" t="n">
        <x:v>193.09</x:v>
      </x:c>
      <x:c r="I50" s="18" t="n">
        <x:f>IFERROR(H50/F50,0)</x:f>
        <x:v>5.363611111111111</x:v>
      </x:c>
      <x:c r="J50" s="18" t="n">
        <x:f>F50*G50</x:f>
        <x:v>3528</x:v>
      </x:c>
      <x:c r="K50" s="18" t="n">
        <x:f>H50*G50</x:f>
        <x:v>18922.82</x:v>
      </x:c>
    </x:row>
    <x:row r="51">
      <x:c r="A51" t="n">
        <x:v>51</x:v>
      </x:c>
      <x:c r="B51" t="str">
        <x:v>Category</x:v>
      </x:c>
      <x:c r="C51" t="str">
        <x:v>Product 050</x:v>
      </x:c>
      <x:c r="D51" t="str">
        <x:v>Product 050</x:v>
      </x:c>
      <x:c r="E51" t="str">
        <x:v>SKU-050</x:v>
      </x:c>
      <x:c r="F51" t="n">
        <x:v>36</x:v>
      </x:c>
      <x:c r="G51" t="n">
        <x:v>98</x:v>
      </x:c>
      <x:c r="H51" s="18" t="n">
        <x:v>193.09</x:v>
      </x:c>
      <x:c r="I51" s="18" t="n">
        <x:f>IFERROR(H51/F51,0)</x:f>
        <x:v>5.363611111111111</x:v>
      </x:c>
      <x:c r="J51" s="18" t="n">
        <x:f>F51*G51</x:f>
        <x:v>3528</x:v>
      </x:c>
      <x:c r="K51" s="18" t="n">
        <x:f>H51*G51</x:f>
        <x:v>18922.82</x:v>
      </x:c>
    </x:row>
    <x:row r="52">
      <x:c r="A52" t="n">
        <x:v>52</x:v>
      </x:c>
      <x:c r="B52" t="str">
        <x:v>Category</x:v>
      </x:c>
      <x:c r="C52" t="str">
        <x:v>Product 051</x:v>
      </x:c>
      <x:c r="D52" t="str">
        <x:v>Product 051</x:v>
      </x:c>
      <x:c r="E52" t="str">
        <x:v>SKU-051</x:v>
      </x:c>
      <x:c r="F52" t="n">
        <x:v>36</x:v>
      </x:c>
      <x:c r="G52" t="n">
        <x:v>98</x:v>
      </x:c>
      <x:c r="H52" s="18" t="n">
        <x:v>193.09</x:v>
      </x:c>
      <x:c r="I52" s="18" t="n">
        <x:f>IFERROR(H52/F52,0)</x:f>
        <x:v>5.363611111111111</x:v>
      </x:c>
      <x:c r="J52" s="18" t="n">
        <x:f>F52*G52</x:f>
        <x:v>3528</x:v>
      </x:c>
      <x:c r="K52" s="18" t="n">
        <x:f>H52*G52</x:f>
        <x:v>18922.82</x:v>
      </x:c>
    </x:row>
    <x:row r="53">
      <x:c r="A53" t="n">
        <x:v>53</x:v>
      </x:c>
      <x:c r="B53" t="str">
        <x:v>Category</x:v>
      </x:c>
      <x:c r="C53" t="str">
        <x:v>Product 052</x:v>
      </x:c>
      <x:c r="D53" t="str">
        <x:v>Product 052</x:v>
      </x:c>
      <x:c r="E53" t="str">
        <x:v>SKU-052</x:v>
      </x:c>
      <x:c r="F53" t="n">
        <x:v>36</x:v>
      </x:c>
      <x:c r="G53" t="n">
        <x:v>113</x:v>
      </x:c>
      <x:c r="H53" s="18" t="n">
        <x:v>195.65</x:v>
      </x:c>
      <x:c r="I53" s="18" t="n">
        <x:f>IFERROR(H53/F53,0)</x:f>
        <x:v>5.434722222222223</x:v>
      </x:c>
      <x:c r="J53" s="18" t="n">
        <x:f>F53*G53</x:f>
        <x:v>4068</x:v>
      </x:c>
      <x:c r="K53" s="18" t="n">
        <x:f>H53*G53</x:f>
        <x:v>22108.45</x:v>
      </x:c>
    </x:row>
    <x:row r="54">
      <x:c r="A54" t="n">
        <x:v>54</x:v>
      </x:c>
      <x:c r="B54" t="str">
        <x:v>Category</x:v>
      </x:c>
      <x:c r="C54" t="str">
        <x:v>Product 053</x:v>
      </x:c>
      <x:c r="D54" t="str">
        <x:v>Product 053</x:v>
      </x:c>
      <x:c r="E54" t="str">
        <x:v>SKU-053</x:v>
      </x:c>
      <x:c r="F54" t="n">
        <x:v>36</x:v>
      </x:c>
      <x:c r="G54" t="n">
        <x:v>114</x:v>
      </x:c>
      <x:c r="H54" s="18" t="n">
        <x:v>195.6</x:v>
      </x:c>
      <x:c r="I54" s="18" t="n">
        <x:f>IFERROR(H54/F54,0)</x:f>
        <x:v>5.433333333333334</x:v>
      </x:c>
      <x:c r="J54" s="18" t="n">
        <x:f>F54*G54</x:f>
        <x:v>4104</x:v>
      </x:c>
      <x:c r="K54" s="18" t="n">
        <x:f>H54*G54</x:f>
        <x:v>22298.399999999998</x:v>
      </x:c>
    </x:row>
    <x:row r="55">
      <x:c r="A55" t="n">
        <x:v>55</x:v>
      </x:c>
      <x:c r="B55" t="str">
        <x:v>Category</x:v>
      </x:c>
      <x:c r="C55" t="str">
        <x:v>Product 054</x:v>
      </x:c>
      <x:c r="D55" t="str">
        <x:v>Product 054</x:v>
      </x:c>
      <x:c r="E55" t="str">
        <x:v>SKU-054</x:v>
      </x:c>
      <x:c r="F55" t="n">
        <x:v>36</x:v>
      </x:c>
      <x:c r="G55" t="n">
        <x:v>103</x:v>
      </x:c>
      <x:c r="H55" s="18" t="n">
        <x:v>196.02</x:v>
      </x:c>
      <x:c r="I55" s="18" t="n">
        <x:f>IFERROR(H55/F55,0)</x:f>
        <x:v>5.445</x:v>
      </x:c>
      <x:c r="J55" s="18" t="n">
        <x:f>F55*G55</x:f>
        <x:v>3708</x:v>
      </x:c>
      <x:c r="K55" s="18" t="n">
        <x:f>H55*G55</x:f>
        <x:v>20190.06</x:v>
      </x:c>
    </x:row>
    <x:row r="56">
      <x:c r="A56" t="n">
        <x:v>56</x:v>
      </x:c>
      <x:c r="B56" t="str">
        <x:v>Category</x:v>
      </x:c>
      <x:c r="C56" t="str">
        <x:v>Product 055</x:v>
      </x:c>
      <x:c r="D56" t="str">
        <x:v>Product 055</x:v>
      </x:c>
      <x:c r="E56" t="str">
        <x:v>SKU-055</x:v>
      </x:c>
      <x:c r="F56" t="n">
        <x:v>36</x:v>
      </x:c>
      <x:c r="G56" t="n">
        <x:v>112</x:v>
      </x:c>
      <x:c r="H56" s="18" t="n">
        <x:v>195.5</x:v>
      </x:c>
      <x:c r="I56" s="18" t="n">
        <x:f>IFERROR(H56/F56,0)</x:f>
        <x:v>5.430555555555555</x:v>
      </x:c>
      <x:c r="J56" s="18" t="n">
        <x:f>F56*G56</x:f>
        <x:v>4032</x:v>
      </x:c>
      <x:c r="K56" s="18" t="n">
        <x:f>H56*G56</x:f>
        <x:v>21896</x:v>
      </x:c>
    </x:row>
    <x:row r="57">
      <x:c r="A57" t="n">
        <x:v>58</x:v>
      </x:c>
      <x:c r="B57" t="str">
        <x:v>Category</x:v>
      </x:c>
      <x:c r="C57" t="str">
        <x:v>Product 056</x:v>
      </x:c>
      <x:c r="D57" t="str">
        <x:v>Product 056</x:v>
      </x:c>
      <x:c r="E57" t="str">
        <x:v>SKU-056</x:v>
      </x:c>
      <x:c r="F57" t="n">
        <x:v>36</x:v>
      </x:c>
      <x:c r="G57" t="n">
        <x:v>114</x:v>
      </x:c>
      <x:c r="H57" s="18" t="n">
        <x:v>195.6</x:v>
      </x:c>
      <x:c r="I57" s="18" t="n">
        <x:f>IFERROR(H57/F57,0)</x:f>
        <x:v>5.433333333333334</x:v>
      </x:c>
      <x:c r="J57" s="18" t="n">
        <x:f>F57*G57</x:f>
        <x:v>4104</x:v>
      </x:c>
      <x:c r="K57" s="18" t="n">
        <x:f>H57*G57</x:f>
        <x:v>22298.399999999998</x:v>
      </x:c>
    </x:row>
    <x:row r="58">
      <x:c r="A58" t="n">
        <x:v>60</x:v>
      </x:c>
      <x:c r="B58" t="str">
        <x:v>Category</x:v>
      </x:c>
      <x:c r="C58" t="str">
        <x:v>Product 057</x:v>
      </x:c>
      <x:c r="D58" t="str">
        <x:v>Product 057</x:v>
      </x:c>
      <x:c r="E58" t="str">
        <x:v>SKU-057</x:v>
      </x:c>
      <x:c r="F58" t="n">
        <x:v>48</x:v>
      </x:c>
      <x:c r="G58" t="n">
        <x:v>2</x:v>
      </x:c>
      <x:c r="H58" s="18" t="n">
        <x:v>336</x:v>
      </x:c>
      <x:c r="I58" s="18" t="n">
        <x:f>IFERROR(H58/F58,0)</x:f>
        <x:v>7</x:v>
      </x:c>
      <x:c r="J58" s="18" t="n">
        <x:f>F58*G58</x:f>
        <x:v>96</x:v>
      </x:c>
      <x:c r="K58" s="18" t="n">
        <x:f>H58*G58</x:f>
        <x:v>672</x:v>
      </x:c>
    </x:row>
    <x:row r="59">
      <x:c r="A59" t="n">
        <x:v>61</x:v>
      </x:c>
      <x:c r="B59" t="str">
        <x:v>Category</x:v>
      </x:c>
      <x:c r="C59" t="str">
        <x:v>Product 058</x:v>
      </x:c>
      <x:c r="D59" t="str">
        <x:v>Product 058</x:v>
      </x:c>
      <x:c r="E59" t="str">
        <x:v>SKU-058</x:v>
      </x:c>
      <x:c r="F59" t="n">
        <x:v>48</x:v>
      </x:c>
      <x:c r="G59" t="n">
        <x:v>2</x:v>
      </x:c>
      <x:c r="H59" s="18" t="n">
        <x:v>336</x:v>
      </x:c>
      <x:c r="I59" s="18" t="n">
        <x:f>IFERROR(H59/F59,0)</x:f>
        <x:v>7</x:v>
      </x:c>
      <x:c r="J59" s="18" t="n">
        <x:f>F59*G59</x:f>
        <x:v>96</x:v>
      </x:c>
      <x:c r="K59" s="18" t="n">
        <x:f>H59*G59</x:f>
        <x:v>672</x:v>
      </x:c>
    </x:row>
    <x:row r="60">
      <x:c r="A60" t="n">
        <x:v>62</x:v>
      </x:c>
      <x:c r="B60" t="str">
        <x:v>Category</x:v>
      </x:c>
      <x:c r="C60" t="str">
        <x:v>Product 059</x:v>
      </x:c>
      <x:c r="D60" t="str">
        <x:v>Product 059</x:v>
      </x:c>
      <x:c r="E60" t="str">
        <x:v>SKU-059</x:v>
      </x:c>
      <x:c r="F60" t="n">
        <x:v>48</x:v>
      </x:c>
      <x:c r="G60" t="n">
        <x:v>2</x:v>
      </x:c>
      <x:c r="H60" s="18" t="n">
        <x:v>336</x:v>
      </x:c>
      <x:c r="I60" s="18" t="n">
        <x:f>IFERROR(H60/F60,0)</x:f>
        <x:v>7</x:v>
      </x:c>
      <x:c r="J60" s="18" t="n">
        <x:f>F60*G60</x:f>
        <x:v>96</x:v>
      </x:c>
      <x:c r="K60" s="18" t="n">
        <x:f>H60*G60</x:f>
        <x:v>672</x:v>
      </x:c>
    </x:row>
    <x:row r="61">
      <x:c r="A61" t="n">
        <x:v>63</x:v>
      </x:c>
      <x:c r="B61" t="str">
        <x:v>Category</x:v>
      </x:c>
      <x:c r="C61" t="str">
        <x:v>Product 060</x:v>
      </x:c>
      <x:c r="D61" t="str">
        <x:v>Product 060</x:v>
      </x:c>
      <x:c r="E61" t="str">
        <x:v>SKU-060</x:v>
      </x:c>
      <x:c r="F61" t="n">
        <x:v>48</x:v>
      </x:c>
      <x:c r="G61" t="n">
        <x:v>1</x:v>
      </x:c>
      <x:c r="H61" s="18" t="n">
        <x:v>384</x:v>
      </x:c>
      <x:c r="I61" s="18" t="n">
        <x:f>IFERROR(H61/F61,0)</x:f>
        <x:v>8</x:v>
      </x:c>
      <x:c r="J61" s="18" t="n">
        <x:f>F61*G61</x:f>
        <x:v>48</x:v>
      </x:c>
      <x:c r="K61" s="18" t="n">
        <x:f>H61*G61</x:f>
        <x:v>384</x:v>
      </x:c>
    </x:row>
    <x:row r="62">
      <x:c r="A62" t="n">
        <x:v>64</x:v>
      </x:c>
      <x:c r="B62" t="str">
        <x:v>Category</x:v>
      </x:c>
      <x:c r="C62" t="str">
        <x:v>Product 061</x:v>
      </x:c>
      <x:c r="D62" t="str">
        <x:v>Product 061</x:v>
      </x:c>
      <x:c r="E62" t="str">
        <x:v>SKU-061</x:v>
      </x:c>
      <x:c r="F62" t="n">
        <x:v>48</x:v>
      </x:c>
      <x:c r="G62" t="n">
        <x:v>1</x:v>
      </x:c>
      <x:c r="H62" s="18" t="n">
        <x:v>384</x:v>
      </x:c>
      <x:c r="I62" s="18" t="n">
        <x:f>IFERROR(H62/F62,0)</x:f>
        <x:v>8</x:v>
      </x:c>
      <x:c r="J62" s="18" t="n">
        <x:f>F62*G62</x:f>
        <x:v>48</x:v>
      </x:c>
      <x:c r="K62" s="18" t="n">
        <x:f>H62*G62</x:f>
        <x:v>384</x:v>
      </x:c>
    </x:row>
    <x:row r="63">
      <x:c r="A63" t="n">
        <x:v>65</x:v>
      </x:c>
      <x:c r="B63" t="str">
        <x:v>Category</x:v>
      </x:c>
      <x:c r="C63" t="str">
        <x:v>Product 062</x:v>
      </x:c>
      <x:c r="D63" t="str">
        <x:v>Product 062</x:v>
      </x:c>
      <x:c r="E63" t="str">
        <x:v>SKU-062</x:v>
      </x:c>
      <x:c r="F63" t="n">
        <x:v>48</x:v>
      </x:c>
      <x:c r="G63" t="n">
        <x:v>1</x:v>
      </x:c>
      <x:c r="H63" s="18" t="n">
        <x:v>384</x:v>
      </x:c>
      <x:c r="I63" s="18" t="n">
        <x:f>IFERROR(H63/F63,0)</x:f>
        <x:v>8</x:v>
      </x:c>
      <x:c r="J63" s="18" t="n">
        <x:f>F63*G63</x:f>
        <x:v>48</x:v>
      </x:c>
      <x:c r="K63" s="18" t="n">
        <x:f>H63*G63</x:f>
        <x:v>384</x:v>
      </x:c>
    </x:row>
    <x:row r="64">
      <x:c r="A64" t="n">
        <x:v>66</x:v>
      </x:c>
      <x:c r="B64" t="str">
        <x:v>Category</x:v>
      </x:c>
      <x:c r="C64" t="str">
        <x:v>Product 063</x:v>
      </x:c>
      <x:c r="D64" t="str">
        <x:v>Product 063</x:v>
      </x:c>
      <x:c r="E64" t="str">
        <x:v>SKU-063</x:v>
      </x:c>
      <x:c r="F64" t="n">
        <x:v>24</x:v>
      </x:c>
      <x:c r="G64" t="n">
        <x:v>15</x:v>
      </x:c>
      <x:c r="H64" s="18" t="n">
        <x:v>32.4</x:v>
      </x:c>
      <x:c r="I64" s="18" t="n">
        <x:f>IFERROR(H64/F64,0)</x:f>
        <x:v>1.3499999999999999</x:v>
      </x:c>
      <x:c r="J64" s="18" t="n">
        <x:f>F64*G64</x:f>
        <x:v>360</x:v>
      </x:c>
      <x:c r="K64" s="18" t="n">
        <x:f>H64*G64</x:f>
        <x:v>486</x:v>
      </x:c>
    </x:row>
    <x:row r="65">
      <x:c r="A65" t="n">
        <x:v>67</x:v>
      </x:c>
      <x:c r="B65" t="str">
        <x:v>Category</x:v>
      </x:c>
      <x:c r="C65" t="str">
        <x:v>Product 064</x:v>
      </x:c>
      <x:c r="D65" t="str">
        <x:v>Product 064</x:v>
      </x:c>
      <x:c r="E65" t="str">
        <x:v>SKU-064</x:v>
      </x:c>
      <x:c r="F65" t="n">
        <x:v>24</x:v>
      </x:c>
      <x:c r="G65" t="n">
        <x:v>15</x:v>
      </x:c>
      <x:c r="H65" s="18" t="n">
        <x:v>32.4</x:v>
      </x:c>
      <x:c r="I65" s="18" t="n">
        <x:f>IFERROR(H65/F65,0)</x:f>
        <x:v>1.3499999999999999</x:v>
      </x:c>
      <x:c r="J65" s="18" t="n">
        <x:f>F65*G65</x:f>
        <x:v>360</x:v>
      </x:c>
      <x:c r="K65" s="18" t="n">
        <x:f>H65*G65</x:f>
        <x:v>486</x:v>
      </x:c>
    </x:row>
    <x:row r="66">
      <x:c r="A66" t="n">
        <x:v>68</x:v>
      </x:c>
      <x:c r="B66" t="str">
        <x:v>Category</x:v>
      </x:c>
      <x:c r="C66" t="str">
        <x:v>Product 065</x:v>
      </x:c>
      <x:c r="D66" t="str">
        <x:v>Product 065</x:v>
      </x:c>
      <x:c r="E66" t="str">
        <x:v>SKU-065</x:v>
      </x:c>
      <x:c r="F66" t="n">
        <x:v>24</x:v>
      </x:c>
      <x:c r="G66" t="n">
        <x:v>15</x:v>
      </x:c>
      <x:c r="H66" s="18" t="n">
        <x:v>32.4</x:v>
      </x:c>
      <x:c r="I66" s="18" t="n">
        <x:f>IFERROR(H66/F66,0)</x:f>
        <x:v>1.3499999999999999</x:v>
      </x:c>
      <x:c r="J66" s="18" t="n">
        <x:f>F66*G66</x:f>
        <x:v>360</x:v>
      </x:c>
      <x:c r="K66" s="18" t="n">
        <x:f>H66*G66</x:f>
        <x:v>486</x:v>
      </x:c>
    </x:row>
    <x:row r="67">
      <x:c r="A67" t="n">
        <x:v>69</x:v>
      </x:c>
      <x:c r="B67" t="str">
        <x:v>Category</x:v>
      </x:c>
      <x:c r="C67" t="str">
        <x:v>Product 066</x:v>
      </x:c>
      <x:c r="D67" t="str">
        <x:v>Product 066</x:v>
      </x:c>
      <x:c r="E67" t="str">
        <x:v>SKU-066</x:v>
      </x:c>
      <x:c r="F67" t="n">
        <x:v>24</x:v>
      </x:c>
      <x:c r="G67" t="n">
        <x:v>15</x:v>
      </x:c>
      <x:c r="H67" s="18" t="n">
        <x:v>32.4</x:v>
      </x:c>
      <x:c r="I67" s="18" t="n">
        <x:f>IFERROR(H67/F67,0)</x:f>
        <x:v>1.3499999999999999</x:v>
      </x:c>
      <x:c r="J67" s="18" t="n">
        <x:f>F67*G67</x:f>
        <x:v>360</x:v>
      </x:c>
      <x:c r="K67" s="18" t="n">
        <x:f>H67*G67</x:f>
        <x:v>486</x:v>
      </x:c>
    </x:row>
    <x:row r="68">
      <x:c r="A68" t="n">
        <x:v>70</x:v>
      </x:c>
      <x:c r="B68" t="str">
        <x:v>Category</x:v>
      </x:c>
      <x:c r="C68" t="str">
        <x:v>Product 067</x:v>
      </x:c>
      <x:c r="D68" t="str">
        <x:v>Product 067</x:v>
      </x:c>
      <x:c r="E68" t="str">
        <x:v>SKU-067</x:v>
      </x:c>
      <x:c r="F68" t="n">
        <x:v>24</x:v>
      </x:c>
      <x:c r="G68" t="n">
        <x:v>15</x:v>
      </x:c>
      <x:c r="H68" s="18" t="n">
        <x:v>32.4</x:v>
      </x:c>
      <x:c r="I68" s="18" t="n">
        <x:f>IFERROR(H68/F68,0)</x:f>
        <x:v>1.3499999999999999</x:v>
      </x:c>
      <x:c r="J68" s="18" t="n">
        <x:f>F68*G68</x:f>
        <x:v>360</x:v>
      </x:c>
      <x:c r="K68" s="18" t="n">
        <x:f>H68*G68</x:f>
        <x:v>486</x:v>
      </x:c>
    </x:row>
    <x:row r="69">
      <x:c r="A69" t="n">
        <x:v>71</x:v>
      </x:c>
      <x:c r="B69" t="str">
        <x:v>Category</x:v>
      </x:c>
      <x:c r="C69" t="str">
        <x:v>Product 068</x:v>
      </x:c>
      <x:c r="D69" t="str">
        <x:v>Product 068</x:v>
      </x:c>
      <x:c r="E69" t="str">
        <x:v>SKU-068</x:v>
      </x:c>
      <x:c r="F69" t="n">
        <x:v>24</x:v>
      </x:c>
      <x:c r="G69" t="n">
        <x:v>15</x:v>
      </x:c>
      <x:c r="H69" s="18" t="n">
        <x:v>32.4</x:v>
      </x:c>
      <x:c r="I69" s="18" t="n">
        <x:f>IFERROR(H69/F69,0)</x:f>
        <x:v>1.3499999999999999</x:v>
      </x:c>
      <x:c r="J69" s="18" t="n">
        <x:f>F69*G69</x:f>
        <x:v>360</x:v>
      </x:c>
      <x:c r="K69" s="18" t="n">
        <x:f>H69*G69</x:f>
        <x:v>486</x:v>
      </x:c>
    </x:row>
    <x:row r="70">
      <x:c r="A70" t="n">
        <x:v>72</x:v>
      </x:c>
      <x:c r="B70" t="str">
        <x:v>Category</x:v>
      </x:c>
      <x:c r="C70" t="str">
        <x:v>Product 069</x:v>
      </x:c>
      <x:c r="D70" t="str">
        <x:v>Product 069</x:v>
      </x:c>
      <x:c r="E70" t="str">
        <x:v>SKU-069</x:v>
      </x:c>
      <x:c r="F70" t="n">
        <x:v>44</x:v>
      </x:c>
      <x:c r="G70" t="n">
        <x:v>2</x:v>
      </x:c>
      <x:c r="H70" s="18" t="n">
        <x:v>429</x:v>
      </x:c>
      <x:c r="I70" s="18" t="n">
        <x:f>IFERROR(H70/F70,0)</x:f>
        <x:v>9.75</x:v>
      </x:c>
      <x:c r="J70" s="18" t="n">
        <x:f>F70*G70</x:f>
        <x:v>88</x:v>
      </x:c>
      <x:c r="K70" s="18" t="n">
        <x:f>H70*G70</x:f>
        <x:v>858</x:v>
      </x:c>
    </x:row>
    <x:row r="71">
      <x:c r="A71" t="n">
        <x:v>73</x:v>
      </x:c>
      <x:c r="B71" t="str">
        <x:v>Category</x:v>
      </x:c>
      <x:c r="C71" t="str">
        <x:v>Product 070</x:v>
      </x:c>
      <x:c r="D71" t="str">
        <x:v>Product 070</x:v>
      </x:c>
      <x:c r="E71" t="str">
        <x:v>SKU-070</x:v>
      </x:c>
      <x:c r="F71" t="n">
        <x:v>45</x:v>
      </x:c>
      <x:c r="G71" t="n">
        <x:v>2</x:v>
      </x:c>
      <x:c r="H71" s="18" t="n">
        <x:v>438.75</x:v>
      </x:c>
      <x:c r="I71" s="18" t="n">
        <x:f>IFERROR(H71/F71,0)</x:f>
        <x:v>9.75</x:v>
      </x:c>
      <x:c r="J71" s="18" t="n">
        <x:f>F71*G71</x:f>
        <x:v>90</x:v>
      </x:c>
      <x:c r="K71" s="18" t="n">
        <x:f>H71*G71</x:f>
        <x:v>877.5</x:v>
      </x:c>
    </x:row>
    <x:row r="72">
      <x:c r="A72" t="n">
        <x:v>74</x:v>
      </x:c>
      <x:c r="B72" t="str">
        <x:v>Category</x:v>
      </x:c>
      <x:c r="C72" t="str">
        <x:v>Product 071</x:v>
      </x:c>
      <x:c r="D72" t="str">
        <x:v>Product 071</x:v>
      </x:c>
      <x:c r="E72" t="str">
        <x:v>SKU-071</x:v>
      </x:c>
      <x:c r="F72" t="n">
        <x:v>43</x:v>
      </x:c>
      <x:c r="G72" t="n">
        <x:v>2</x:v>
      </x:c>
      <x:c r="H72" s="18" t="n">
        <x:v>419.25</x:v>
      </x:c>
      <x:c r="I72" s="18" t="n">
        <x:f>IFERROR(H72/F72,0)</x:f>
        <x:v>9.75</x:v>
      </x:c>
      <x:c r="J72" s="18" t="n">
        <x:f>F72*G72</x:f>
        <x:v>86</x:v>
      </x:c>
      <x:c r="K72" s="18" t="n">
        <x:f>H72*G72</x:f>
        <x:v>838.5</x:v>
      </x:c>
    </x:row>
    <x:row r="73">
      <x:c r="A73" t="n">
        <x:v>75</x:v>
      </x:c>
      <x:c r="B73" t="str">
        <x:v>Category</x:v>
      </x:c>
      <x:c r="C73" t="str">
        <x:v>Product 072</x:v>
      </x:c>
      <x:c r="D73" t="str">
        <x:v>Product 072</x:v>
      </x:c>
      <x:c r="E73" t="str">
        <x:v>SKU-072</x:v>
      </x:c>
      <x:c r="F73" t="n">
        <x:v>48</x:v>
      </x:c>
      <x:c r="G73" t="n">
        <x:v>20</x:v>
      </x:c>
      <x:c r="H73" s="18" t="n">
        <x:v>57.6</x:v>
      </x:c>
      <x:c r="I73" s="18" t="n">
        <x:f>IFERROR(H73/F73,0)</x:f>
        <x:v>1.2</x:v>
      </x:c>
      <x:c r="J73" s="18" t="n">
        <x:f>F73*G73</x:f>
        <x:v>960</x:v>
      </x:c>
      <x:c r="K73" s="18" t="n">
        <x:f>H73*G73</x:f>
        <x:v>1152</x:v>
      </x:c>
    </x:row>
    <x:row r="74">
      <x:c r="A74" t="n">
        <x:v>76</x:v>
      </x:c>
      <x:c r="B74" t="str">
        <x:v>Category</x:v>
      </x:c>
      <x:c r="C74" t="str">
        <x:v>Product 073</x:v>
      </x:c>
      <x:c r="D74" t="str">
        <x:v>Product 073</x:v>
      </x:c>
      <x:c r="E74" t="str">
        <x:v>SKU-073</x:v>
      </x:c>
      <x:c r="F74" t="n">
        <x:v>48</x:v>
      </x:c>
      <x:c r="G74" t="n">
        <x:v>20</x:v>
      </x:c>
      <x:c r="H74" s="18" t="n">
        <x:v>57.6</x:v>
      </x:c>
      <x:c r="I74" s="18" t="n">
        <x:f>IFERROR(H74/F74,0)</x:f>
        <x:v>1.2</x:v>
      </x:c>
      <x:c r="J74" s="18" t="n">
        <x:f>F74*G74</x:f>
        <x:v>960</x:v>
      </x:c>
      <x:c r="K74" s="18" t="n">
        <x:f>H74*G74</x:f>
        <x:v>1152</x:v>
      </x:c>
    </x:row>
    <x:row r="75">
      <x:c r="A75" t="n">
        <x:v>77</x:v>
      </x:c>
      <x:c r="B75" t="str">
        <x:v>Category</x:v>
      </x:c>
      <x:c r="C75" t="str">
        <x:v>Product 074</x:v>
      </x:c>
      <x:c r="D75" t="str">
        <x:v>Product 074</x:v>
      </x:c>
      <x:c r="E75" t="str">
        <x:v>SKU-074</x:v>
      </x:c>
      <x:c r="F75" t="n">
        <x:v>48</x:v>
      </x:c>
      <x:c r="G75" t="n">
        <x:v>20</x:v>
      </x:c>
      <x:c r="H75" s="18" t="n">
        <x:v>57.6</x:v>
      </x:c>
      <x:c r="I75" s="18" t="n">
        <x:f>IFERROR(H75/F75,0)</x:f>
        <x:v>1.2</x:v>
      </x:c>
      <x:c r="J75" s="18" t="n">
        <x:f>F75*G75</x:f>
        <x:v>960</x:v>
      </x:c>
      <x:c r="K75" s="18" t="n">
        <x:f>H75*G75</x:f>
        <x:v>1152</x:v>
      </x:c>
    </x:row>
    <x:row r="76">
      <x:c r="A76" t="n">
        <x:v>78</x:v>
      </x:c>
      <x:c r="B76" t="str">
        <x:v>Category</x:v>
      </x:c>
      <x:c r="C76" t="str">
        <x:v>Product 075</x:v>
      </x:c>
      <x:c r="D76" t="str">
        <x:v>Product 075</x:v>
      </x:c>
      <x:c r="E76" t="str">
        <x:v>SKU-075</x:v>
      </x:c>
      <x:c r="F76" t="n">
        <x:v>48</x:v>
      </x:c>
      <x:c r="G76" t="n">
        <x:v>20</x:v>
      </x:c>
      <x:c r="H76" s="18" t="n">
        <x:v>57.6</x:v>
      </x:c>
      <x:c r="I76" s="18" t="n">
        <x:f>IFERROR(H76/F76,0)</x:f>
        <x:v>1.2</x:v>
      </x:c>
      <x:c r="J76" s="18" t="n">
        <x:f>F76*G76</x:f>
        <x:v>960</x:v>
      </x:c>
      <x:c r="K76" s="18" t="n">
        <x:f>H76*G76</x:f>
        <x:v>1152</x:v>
      </x:c>
    </x:row>
    <x:row r="77">
      <x:c r="A77" t="n">
        <x:v>79</x:v>
      </x:c>
      <x:c r="B77" t="str">
        <x:v>Category</x:v>
      </x:c>
      <x:c r="C77" t="str">
        <x:v>Product 076</x:v>
      </x:c>
      <x:c r="D77" t="str">
        <x:v>Product 076</x:v>
      </x:c>
      <x:c r="E77" t="str">
        <x:v>SKU-076</x:v>
      </x:c>
      <x:c r="F77" t="n">
        <x:v>48</x:v>
      </x:c>
      <x:c r="G77" t="n">
        <x:v>20</x:v>
      </x:c>
      <x:c r="H77" s="18" t="n">
        <x:v>57.6</x:v>
      </x:c>
      <x:c r="I77" s="18" t="n">
        <x:f>IFERROR(H77/F77,0)</x:f>
        <x:v>1.2</x:v>
      </x:c>
      <x:c r="J77" s="18" t="n">
        <x:f>F77*G77</x:f>
        <x:v>960</x:v>
      </x:c>
      <x:c r="K77" s="18" t="n">
        <x:f>H77*G77</x:f>
        <x:v>1152</x:v>
      </x:c>
    </x:row>
    <x:row r="78">
      <x:c r="A78" t="n">
        <x:v>80</x:v>
      </x:c>
      <x:c r="B78" t="str">
        <x:v>Category</x:v>
      </x:c>
      <x:c r="C78" t="str">
        <x:v>Product 077</x:v>
      </x:c>
      <x:c r="D78" t="str">
        <x:v>Product 077</x:v>
      </x:c>
      <x:c r="E78" t="str">
        <x:v>SKU-077</x:v>
      </x:c>
      <x:c r="F78" t="n">
        <x:v>48</x:v>
      </x:c>
      <x:c r="G78" t="n">
        <x:v>20</x:v>
      </x:c>
      <x:c r="H78" s="18" t="n">
        <x:v>57.6</x:v>
      </x:c>
      <x:c r="I78" s="18" t="n">
        <x:f>IFERROR(H78/F78,0)</x:f>
        <x:v>1.2</x:v>
      </x:c>
      <x:c r="J78" s="18" t="n">
        <x:f>F78*G78</x:f>
        <x:v>960</x:v>
      </x:c>
      <x:c r="K78" s="18" t="n">
        <x:f>H78*G78</x:f>
        <x:v>1152</x:v>
      </x:c>
    </x:row>
    <x:row r="79">
      <x:c r="A79" t="n">
        <x:v>81</x:v>
      </x:c>
      <x:c r="B79" t="str">
        <x:v>Category</x:v>
      </x:c>
      <x:c r="C79" t="str">
        <x:v>Product 078</x:v>
      </x:c>
      <x:c r="D79" t="str">
        <x:v>Product 078</x:v>
      </x:c>
      <x:c r="E79" t="str">
        <x:v>SKU-078</x:v>
      </x:c>
      <x:c r="F79" t="n">
        <x:v>36</x:v>
      </x:c>
      <x:c r="G79" t="n">
        <x:v>20</x:v>
      </x:c>
      <x:c r="H79" s="18" t="n">
        <x:v>129.6</x:v>
      </x:c>
      <x:c r="I79" s="18" t="n">
        <x:f>IFERROR(H79/F79,0)</x:f>
        <x:v>3.5999999999999996</x:v>
      </x:c>
      <x:c r="J79" s="18" t="n">
        <x:f>F79*G79</x:f>
        <x:v>720</x:v>
      </x:c>
      <x:c r="K79" s="18" t="n">
        <x:f>H79*G79</x:f>
        <x:v>2592</x:v>
      </x:c>
    </x:row>
    <x:row r="80">
      <x:c r="A80" t="n">
        <x:v>82</x:v>
      </x:c>
      <x:c r="B80" t="str">
        <x:v>Category</x:v>
      </x:c>
      <x:c r="C80" t="str">
        <x:v>Product 079</x:v>
      </x:c>
      <x:c r="D80" t="str">
        <x:v>Product 079</x:v>
      </x:c>
      <x:c r="E80" t="str">
        <x:v>SKU-079</x:v>
      </x:c>
      <x:c r="F80" t="n">
        <x:v>36</x:v>
      </x:c>
      <x:c r="G80" t="n">
        <x:v>20</x:v>
      </x:c>
      <x:c r="H80" s="18" t="n">
        <x:v>129.6</x:v>
      </x:c>
      <x:c r="I80" s="18" t="n">
        <x:f>IFERROR(H80/F80,0)</x:f>
        <x:v>3.5999999999999996</x:v>
      </x:c>
      <x:c r="J80" s="18" t="n">
        <x:f>F80*G80</x:f>
        <x:v>720</x:v>
      </x:c>
      <x:c r="K80" s="18" t="n">
        <x:f>H80*G80</x:f>
        <x:v>2592</x:v>
      </x:c>
    </x:row>
    <x:row r="81">
      <x:c r="A81" t="n">
        <x:v>83</x:v>
      </x:c>
      <x:c r="B81" t="str">
        <x:v>Category</x:v>
      </x:c>
      <x:c r="C81" t="str">
        <x:v>Product 080</x:v>
      </x:c>
      <x:c r="D81" t="str">
        <x:v>Product 080</x:v>
      </x:c>
      <x:c r="E81" t="str">
        <x:v>SKU-080</x:v>
      </x:c>
      <x:c r="F81" t="n">
        <x:v>36</x:v>
      </x:c>
      <x:c r="G81" t="n">
        <x:v>20</x:v>
      </x:c>
      <x:c r="H81" s="18" t="n">
        <x:v>129.6</x:v>
      </x:c>
      <x:c r="I81" s="18" t="n">
        <x:f>IFERROR(H81/F81,0)</x:f>
        <x:v>3.5999999999999996</x:v>
      </x:c>
      <x:c r="J81" s="18" t="n">
        <x:f>F81*G81</x:f>
        <x:v>720</x:v>
      </x:c>
      <x:c r="K81" s="18" t="n">
        <x:f>H81*G81</x:f>
        <x:v>2592</x:v>
      </x:c>
    </x:row>
    <x:row r="82">
      <x:c r="A82" t="n">
        <x:v>84</x:v>
      </x:c>
      <x:c r="B82" t="str">
        <x:v>Category</x:v>
      </x:c>
      <x:c r="C82" t="str">
        <x:v>Product 081</x:v>
      </x:c>
      <x:c r="D82" t="str">
        <x:v>Product 081</x:v>
      </x:c>
      <x:c r="E82" t="str">
        <x:v>SKU-081</x:v>
      </x:c>
      <x:c r="F82" t="n">
        <x:v>36</x:v>
      </x:c>
      <x:c r="G82" t="n">
        <x:v>20</x:v>
      </x:c>
      <x:c r="H82" s="18" t="n">
        <x:v>129.6</x:v>
      </x:c>
      <x:c r="I82" s="18" t="n">
        <x:f>IFERROR(H82/F82,0)</x:f>
        <x:v>3.5999999999999996</x:v>
      </x:c>
      <x:c r="J82" s="18" t="n">
        <x:f>F82*G82</x:f>
        <x:v>720</x:v>
      </x:c>
      <x:c r="K82" s="18" t="n">
        <x:f>H82*G82</x:f>
        <x:v>2592</x:v>
      </x:c>
    </x:row>
    <x:row r="83">
      <x:c r="A83" t="n">
        <x:v>85</x:v>
      </x:c>
      <x:c r="B83" t="str">
        <x:v>Category</x:v>
      </x:c>
      <x:c r="C83" t="str">
        <x:v>Product 082</x:v>
      </x:c>
      <x:c r="D83" t="str">
        <x:v>Product 082</x:v>
      </x:c>
      <x:c r="E83" t="str">
        <x:v>SKU-082</x:v>
      </x:c>
      <x:c r="F83" t="n">
        <x:v>36</x:v>
      </x:c>
      <x:c r="G83" t="n">
        <x:v>20</x:v>
      </x:c>
      <x:c r="H83" s="18" t="n">
        <x:v>129.6</x:v>
      </x:c>
      <x:c r="I83" s="18" t="n">
        <x:f>IFERROR(H83/F83,0)</x:f>
        <x:v>3.5999999999999996</x:v>
      </x:c>
      <x:c r="J83" s="18" t="n">
        <x:f>F83*G83</x:f>
        <x:v>720</x:v>
      </x:c>
      <x:c r="K83" s="18" t="n">
        <x:f>H83*G83</x:f>
        <x:v>2592</x:v>
      </x:c>
    </x:row>
    <x:row r="84">
      <x:c r="A84" t="n">
        <x:v>86</x:v>
      </x:c>
      <x:c r="B84" t="str">
        <x:v>Category</x:v>
      </x:c>
      <x:c r="C84" t="str">
        <x:v>Product 083</x:v>
      </x:c>
      <x:c r="D84" t="str">
        <x:v>Product 083</x:v>
      </x:c>
      <x:c r="E84" t="str">
        <x:v>SKU-083</x:v>
      </x:c>
      <x:c r="F84" t="n">
        <x:v>36</x:v>
      </x:c>
      <x:c r="G84" t="n">
        <x:v>20</x:v>
      </x:c>
      <x:c r="H84" s="18" t="n">
        <x:v>129.6</x:v>
      </x:c>
      <x:c r="I84" s="18" t="n">
        <x:f>IFERROR(H84/F84,0)</x:f>
        <x:v>3.5999999999999996</x:v>
      </x:c>
      <x:c r="J84" s="18" t="n">
        <x:f>F84*G84</x:f>
        <x:v>720</x:v>
      </x:c>
      <x:c r="K84" s="18" t="n">
        <x:f>H84*G84</x:f>
        <x:v>2592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Cost Build-up / Value Chain Analysis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3">
      <x:c r="A3" s="6" t="str">
        <x:v>Product</x:v>
      </x:c>
      <x:c r="B3" s="6" t="str">
        <x:v>Billing Frm Dxb</x:v>
      </x:c>
      <x:c r="C3" s="6" t="str">
        <x:v>Tariff + Clearing</x:v>
      </x:c>
      <x:c r="D3" s="6" t="str">
        <x:v>Customs</x:v>
      </x:c>
      <x:c r="E3" s="6" t="str">
        <x:v>Warehouse</x:v>
      </x:c>
      <x:c r="F3" s="6" t="str">
        <x:v>Stock Transport</x:v>
      </x:c>
      <x:c r="G3" s="6" t="str">
        <x:v>Import Margin</x:v>
      </x:c>
      <x:c r="H3" s="6" t="str">
        <x:v>Local Exp</x:v>
      </x:c>
      <x:c r="I3" s="6" t="str">
        <x:v>Tax Provision</x:v>
      </x:c>
      <x:c r="J3" s="6" t="str">
        <x:v>Net Invoicing</x:v>
      </x:c>
      <x:c r="K3" s="6" t="str">
        <x:v>Markup on Base %</x:v>
      </x:c>
    </x:row>
    <x:row r="4">
      <x:c r="A4" t="str">
        <x:v>Cost Item 01</x:v>
      </x:c>
      <x:c r="B4" s="22" t="n">
        <x:v>5.778613</x:v>
      </x:c>
      <x:c r="C4" s="22" t="n">
        <x:v>6.529832689999999</x:v>
      </x:c>
      <x:c r="D4" s="22" t="n">
        <x:v>0</x:v>
      </x:c>
      <x:c r="E4" s="22" t="n">
        <x:v>6.9869209783</x:v>
      </x:c>
      <x:c r="F4" s="22" t="n">
        <x:v>7.68561307613</x:v>
      </x:c>
      <x:c r="G4" s="22" t="n">
        <x:v>8.454174383743</x:v>
      </x:c>
      <x:c r="H4" s="22" t="n">
        <x:v>8.876883102930151</x:v>
      </x:c>
      <x:c r="I4" s="22" t="n">
        <x:v>9.143189596018056</x:v>
      </x:c>
      <x:c r="J4" s="22" t="n">
        <x:v>9.143374999999999</x:v>
      </x:c>
      <x:c r="K4" s="20" t="n">
        <x:f>IFERROR((J4-B4)/B4,0)</x:f>
        <x:v>0.582278481012658</x:v>
      </x:c>
    </x:row>
    <x:row r="5">
      <x:c r="A5" t="str">
        <x:v>Cost Item 02</x:v>
      </x:c>
      <x:c r="B5" s="22" t="n">
        <x:v>1.4044223999999998</x:v>
      </x:c>
      <x:c r="C5" s="22" t="n">
        <x:v>1.5869973119999996</x:v>
      </x:c>
      <x:c r="D5" s="22" t="n">
        <x:v>1.6822171507199997</x:v>
      </x:c>
      <x:c r="E5" s="22" t="n">
        <x:v>1.7999723512703998</x:v>
      </x:c>
      <x:c r="F5" s="22" t="n">
        <x:v>1.97996958639744</x:v>
      </x:c>
      <x:c r="G5" s="22" t="n">
        <x:v>2.1779665450371843</x:v>
      </x:c>
      <x:c r="H5" s="22" t="n">
        <x:v>2.2868648722890432</x:v>
      </x:c>
      <x:c r="I5" s="22" t="n">
        <x:v>2.355470818457715</x:v>
      </x:c>
      <x:c r="J5" s="22" t="n">
        <x:v>2.340704</x:v>
      </x:c>
      <x:c r="K5" s="20" t="n">
        <x:f>IFERROR((J5-B5)/B5,0)</x:f>
        <x:v>0.666666666666667</x:v>
      </x:c>
    </x:row>
    <x:row r="6">
      <x:c r="A6" t="str">
        <x:v>Cost Item 03</x:v>
      </x:c>
      <x:c r="B6" s="22" t="n">
        <x:v>1.0533168</x:v>
      </x:c>
      <x:c r="C6" s="22" t="n">
        <x:v>1.1902479839999998</x:v>
      </x:c>
      <x:c r="D6" s="22" t="n">
        <x:v>1.26166286304</x:v>
      </x:c>
      <x:c r="E6" s="22" t="n">
        <x:v>1.3499792634527998</x:v>
      </x:c>
      <x:c r="F6" s="22" t="n">
        <x:v>1.4849771897980801</x:v>
      </x:c>
      <x:c r="G6" s="22" t="n">
        <x:v>1.6334749087778884</x:v>
      </x:c>
      <x:c r="H6" s="22" t="n">
        <x:v>1.7151486542167829</x:v>
      </x:c>
      <x:c r="I6" s="22" t="n">
        <x:v>1.7666031138432865</x:v>
      </x:c>
      <x:c r="J6" s="22" t="n">
        <x:v>1.7189545</x:v>
      </x:c>
      <x:c r="K6" s="20" t="n">
        <x:f>IFERROR((J6-B6)/B6,0)</x:f>
        <x:v>0.6319444444444445</x:v>
      </x:c>
    </x:row>
    <x:row r="7">
      <x:c r="A7" t="str">
        <x:v>Cost Item 04</x:v>
      </x:c>
      <x:c r="B7" s="22" t="n">
        <x:v>1.2069254999999999</x:v>
      </x:c>
      <x:c r="C7" s="22" t="n">
        <x:v>1.3638258149999998</x:v>
      </x:c>
      <x:c r="D7" s="22" t="n">
        <x:v>1.4456553638999998</x:v>
      </x:c>
      <x:c r="E7" s="22" t="n">
        <x:v>1.546851239373</x:v>
      </x:c>
      <x:c r="F7" s="22" t="n">
        <x:v>1.7015363633103002</x:v>
      </x:c>
      <x:c r="G7" s="22" t="n">
        <x:v>1.8716899996413305</x:v>
      </x:c>
      <x:c r="H7" s="22" t="n">
        <x:v>1.965274499623397</x:v>
      </x:c>
      <x:c r="I7" s="22" t="n">
        <x:v>2.024232734612099</x:v>
      </x:c>
      <x:c r="J7" s="22" t="n">
        <x:v>1.8652484999999996</x:v>
      </x:c>
      <x:c r="K7" s="20" t="n">
        <x:f>IFERROR((J7-B7)/B7,0)</x:f>
        <x:v>0.5454545454545453</x:v>
      </x:c>
    </x:row>
    <x:row r="8">
      <x:c r="A8" t="str">
        <x:v>Cost Item 05</x:v>
      </x:c>
      <x:c r="B8" s="22" t="n">
        <x:v>2.531760125362466</x:v>
      </x:c>
      <x:c r="C8" s="22" t="n">
        <x:v>2.8608889416595864</x:v>
      </x:c>
      <x:c r="D8" s="22" t="n">
        <x:v>0</x:v>
      </x:c>
      <x:c r="E8" s="22" t="n">
        <x:v>3.0611511675757574</x:v>
      </x:c>
      <x:c r="F8" s="22" t="n">
        <x:v>3.3672662843333336</x:v>
      </x:c>
      <x:c r="G8" s="22" t="n">
        <x:v>3.7039929127666675</x:v>
      </x:c>
      <x:c r="H8" s="22" t="n">
        <x:v>3.889192558405001</x:v>
      </x:c>
      <x:c r="I8" s="22" t="n">
        <x:v>4.005868335157151</x:v>
      </x:c>
      <x:c r="J8" s="22" t="n">
        <x:v>4.38882</x:v>
      </x:c>
      <x:c r="K8" s="20" t="n">
        <x:f>IFERROR((J8-B8)/B8,0)</x:f>
        <x:v>0.7335054597131958</x:v>
      </x:c>
    </x:row>
    <x:row r="9">
      <x:c r="A9" t="str">
        <x:v>Cost Item 06</x:v>
      </x:c>
      <x:c r="B9" s="22" t="n">
        <x:v>0.3803644</x:v>
      </x:c>
      <x:c r="C9" s="22" t="n">
        <x:v>0.429811772</x:v>
      </x:c>
      <x:c r="D9" s="22" t="n">
        <x:v>0</x:v>
      </x:c>
      <x:c r="E9" s="22" t="n">
        <x:v>0.45989859604</x:v>
      </x:c>
      <x:c r="F9" s="22" t="n">
        <x:v>0.5058884556440001</x:v>
      </x:c>
      <x:c r="G9" s="22" t="n">
        <x:v>0.5564773012084001</x:v>
      </x:c>
      <x:c r="H9" s="22" t="n">
        <x:v>0.5843011662688201</x:v>
      </x:c>
      <x:c r="I9" s="22" t="n">
        <x:v>0.6018302012568848</x:v>
      </x:c>
      <x:c r="J9" s="22" t="n">
        <x:v>0.585176</x:v>
      </x:c>
      <x:c r="K9" s="20" t="n">
        <x:f>IFERROR((J9-B9)/B9,0)</x:f>
        <x:v>0.5384615384615385</x:v>
      </x:c>
    </x:row>
    <x:row r="10">
      <x:c r="A10" t="str">
        <x:v>Cost Item 07</x:v>
      </x:c>
      <x:c r="B10" s="22" t="n">
        <x:v>0.9874845</x:v>
      </x:c>
      <x:c r="C10" s="22" t="n">
        <x:v>1.1158574849999998</x:v>
      </x:c>
      <x:c r="D10" s="22" t="n">
        <x:v>1.1828089340999999</x:v>
      </x:c>
      <x:c r="E10" s="22" t="n">
        <x:v>1.265605559487</x:v>
      </x:c>
      <x:c r="F10" s="22" t="n">
        <x:v>1.3921661154357</x:v>
      </x:c>
      <x:c r="G10" s="22" t="n">
        <x:v>0</x:v>
      </x:c>
      <x:c r="H10" s="22" t="n">
        <x:v>0</x:v>
      </x:c>
      <x:c r="I10" s="22" t="n">
        <x:v>0</x:v>
      </x:c>
      <x:c r="J10" s="22" t="n">
        <x:v>1.3532195</x:v>
      </x:c>
      <x:c r="K10" s="20" t="n">
        <x:f>IFERROR((J10-B10)/B10,0)</x:f>
        <x:v>0.3703703703703704</x:v>
      </x:c>
    </x:row>
    <x:row r="11">
      <x:c r="A11" t="str">
        <x:v>Cost Item 08</x:v>
      </x:c>
      <x:c r="B11" s="22" t="n">
        <x:v>0.9874845</x:v>
      </x:c>
      <x:c r="C11" s="22" t="n">
        <x:v>1.1158574849999998</x:v>
      </x:c>
      <x:c r="D11" s="22" t="n">
        <x:v>0</x:v>
      </x:c>
      <x:c r="E11" s="22" t="n">
        <x:v>1.19396750895</x:v>
      </x:c>
      <x:c r="F11" s="22" t="n">
        <x:v>1.3133642598450002</x:v>
      </x:c>
      <x:c r="G11" s="22" t="n">
        <x:v>1.4447006858295002</x:v>
      </x:c>
      <x:c r="H11" s="22" t="n">
        <x:v>1.516935720120975</x:v>
      </x:c>
      <x:c r="I11" s="22" t="n">
        <x:v>1.5624437917246043</x:v>
      </x:c>
      <x:c r="J11" s="22" t="n">
        <x:v>1.536087</x:v>
      </x:c>
      <x:c r="K11" s="20" t="n">
        <x:f>IFERROR((J11-B11)/B11,0)</x:f>
        <x:v>0.5555555555555556</x:v>
      </x:c>
    </x:row>
    <x:row r="12">
      <x:c r="A12" t="str">
        <x:v>Cost Item 09</x:v>
      </x:c>
      <x:c r="B12" s="22" t="n">
        <x:v>0.7680435</x:v>
      </x:c>
      <x:c r="C12" s="22" t="n">
        <x:v>0.8678891549999999</x:v>
      </x:c>
      <x:c r="D12" s="22" t="n">
        <x:v>0</x:v>
      </x:c>
      <x:c r="E12" s="22" t="n">
        <x:v>0.9286413958499999</x:v>
      </x:c>
      <x:c r="F12" s="22" t="n">
        <x:v>1.021505535435</x:v>
      </x:c>
      <x:c r="G12" s="22" t="n">
        <x:v>0</x:v>
      </x:c>
      <x:c r="H12" s="22" t="n">
        <x:v>0</x:v>
      </x:c>
      <x:c r="I12" s="22" t="n">
        <x:v>0</x:v>
      </x:c>
      <x:c r="J12" s="22" t="n">
        <x:v>1.024058</x:v>
      </x:c>
      <x:c r="K12" s="20" t="n">
        <x:f>IFERROR((J12-B12)/B12,0)</x:f>
        <x:v>0.33333333333333326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4" max="4" width="28" hidden="0" customWidth="1"/>
    <x:col min="7" max="7" width="32" hidden="0" customWidth="1"/>
    <x:col min="10" max="10" width="20" hidden="0" customWidth="1"/>
    <x:col min="2" max="2" width="16" hidden="0" customWidth="1"/>
    <x:col min="5" max="5" width="16" hidden="0" customWidth="1"/>
    <x:col min="8" max="8" width="16" hidden="0" customWidth="1"/>
    <x:col min="11" max="11" width="16" hidden="0" customWidth="1"/>
  </x:cols>
  <x:sheetData>
    <x:row r="1">
      <x:c r="A1" s="25" t="str">
        <x:v>Pivot_Product — Sorted Chart Feed Tables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3">
      <x:c r="A3" s="6" t="str">
        <x:v>Top 10 Product</x:v>
      </x:c>
      <x:c r="B3" s="6" t="str">
        <x:v>Total Profit</x:v>
      </x:c>
      <x:c r="D3" s="6" t="str">
        <x:v>Category</x:v>
      </x:c>
      <x:c r="E3" s="6" t="str">
        <x:v>Total Profit</x:v>
      </x:c>
      <x:c r="G3" s="6" t="str">
        <x:v>Top 10 Customer</x:v>
      </x:c>
      <x:c r="H3" s="6" t="str">
        <x:v>Total Profit</x:v>
      </x:c>
      <x:c r="J3" s="6" t="str">
        <x:v>Metric</x:v>
      </x:c>
      <x:c r="K3" s="6" t="str">
        <x:v>Value</x:v>
      </x:c>
    </x:row>
    <x:row r="4">
      <x:c r="A4" t="str">
        <x:v>Product 011</x:v>
      </x:c>
      <x:c r="B4" s="18" t="n">
        <x:v>21361.264703999997</x:v>
      </x:c>
      <x:c r="D4" t="str">
        <x:v>Category 01</x:v>
      </x:c>
      <x:c r="E4" s="18" t="n">
        <x:v>64724.381378351</x:v>
      </x:c>
      <x:c r="G4" t="str">
        <x:v>Customer 009</x:v>
      </x:c>
      <x:c r="H4" s="18" t="n">
        <x:v>29656.1052452</x:v>
      </x:c>
      <x:c r="J4" t="str">
        <x:v>Total Sales</x:v>
      </x:c>
      <x:c r="K4" s="18" t="n">
        <x:v>412551.7352361</x:v>
      </x:c>
    </x:row>
    <x:row r="5">
      <x:c r="A5" t="str">
        <x:v>Product 005</x:v>
      </x:c>
      <x:c r="B5" s="18" t="n">
        <x:v>6312.878688</x:v>
      </x:c>
      <x:c r="D5" t="str">
        <x:v>Category 02</x:v>
      </x:c>
      <x:c r="E5" s="18" t="n">
        <x:v>37701.719328</x:v>
      </x:c>
      <x:c r="G5" t="str">
        <x:v>Customer 003</x:v>
      </x:c>
      <x:c r="H5" s="18" t="n">
        <x:v>28696.006981999995</x:v>
      </x:c>
      <x:c r="J5" t="str">
        <x:v>Total Cost</x:v>
      </x:c>
      <x:c r="K5" s="18" t="n">
        <x:v>250847.393506149</x:v>
      </x:c>
    </x:row>
    <x:row r="6">
      <x:c r="A6" t="str">
        <x:v>Product 006</x:v>
      </x:c>
      <x:c r="B6" s="18" t="n">
        <x:v>6312.878688</x:v>
      </x:c>
      <x:c r="D6" t="str">
        <x:v>Category 04</x:v>
      </x:c>
      <x:c r="E6" s="18" t="n">
        <x:v>35544.1900454</x:v>
      </x:c>
      <x:c r="G6" t="str">
        <x:v>Customer 008</x:v>
      </x:c>
      <x:c r="H6" s="18" t="n">
        <x:v>26612.224504799997</x:v>
      </x:c>
    </x:row>
    <x:row r="7">
      <x:c r="A7" t="str">
        <x:v>Product 008</x:v>
      </x:c>
      <x:c r="B7" s="18" t="n">
        <x:v>6312.878688</x:v>
      </x:c>
      <x:c r="D7" t="str">
        <x:v>Category 10</x:v>
      </x:c>
      <x:c r="E7" s="18" t="n">
        <x:v>3389.0468039999996</x:v>
      </x:c>
      <x:c r="G7" t="str">
        <x:v>Customer 004</x:v>
      </x:c>
      <x:c r="H7" s="18" t="n">
        <x:v>12250.293824999999</x:v>
      </x:c>
    </x:row>
    <x:row r="8">
      <x:c r="A8" t="str">
        <x:v>Product 009</x:v>
      </x:c>
      <x:c r="B8" s="18" t="n">
        <x:v>6295.323407999999</x:v>
      </x:c>
      <x:c r="D8" t="str">
        <x:v>Category 07</x:v>
      </x:c>
      <x:c r="E8" s="18" t="n">
        <x:v>621.456912</x:v>
      </x:c>
      <x:c r="G8" t="str">
        <x:v>Customer 010</x:v>
      </x:c>
      <x:c r="H8" s="18" t="n">
        <x:v>7877.5807944</x:v>
      </x:c>
    </x:row>
    <x:row r="9">
      <x:c r="A9" t="str">
        <x:v>Product 010</x:v>
      </x:c>
      <x:c r="B9" s="18" t="n">
        <x:v>6295.323407999999</x:v>
      </x:c>
      <x:c r="D9" t="str">
        <x:v>Category 03</x:v>
      </x:c>
      <x:c r="E9" s="18" t="n">
        <x:v>371.3380602</x:v>
      </x:c>
      <x:c r="G9" t="str">
        <x:v>Customer 017</x:v>
      </x:c>
      <x:c r="H9" s="18" t="n">
        <x:v>7207.8029742</x:v>
      </x:c>
    </x:row>
    <x:row r="10">
      <x:c r="A10" t="str">
        <x:v>Product 007</x:v>
      </x:c>
      <x:c r="B10" s="18" t="n">
        <x:v>6172.4364479999995</x:v>
      </x:c>
      <x:c r="D10" t="str">
        <x:v>Category 08</x:v>
      </x:c>
      <x:c r="E10" s="18" t="n">
        <x:v>241.3851</x:v>
      </x:c>
      <x:c r="G10" t="str">
        <x:v>Customer 013</x:v>
      </x:c>
      <x:c r="H10" s="18" t="n">
        <x:v>7056.383783351</x:v>
      </x:c>
    </x:row>
    <x:row r="11">
      <x:c r="A11" t="str">
        <x:v>Product 052</x:v>
      </x:c>
      <x:c r="B11" s="18" t="n">
        <x:v>6150.894656500001</x:v>
      </x:c>
      <x:c r="D11" t="str">
        <x:v>Category 05</x:v>
      </x:c>
      <x:c r="E11" s="18" t="n">
        <x:v>210.66335999999998</x:v>
      </x:c>
      <x:c r="G11" t="str">
        <x:v>Customer 015</x:v>
      </x:c>
      <x:c r="H11" s="18" t="n">
        <x:v>5881.955081599999</x:v>
      </x:c>
    </x:row>
    <x:row r="12">
      <x:c r="A12" t="str">
        <x:v>Product 046</x:v>
      </x:c>
      <x:c r="B12" s="18" t="n">
        <x:v>6145.9216114109995</x:v>
      </x:c>
      <x:c r="D12" t="str">
        <x:v>Category 06</x:v>
      </x:c>
      <x:c r="E12" s="18" t="n">
        <x:v>126.398016</x:v>
      </x:c>
      <x:c r="G12" t="str">
        <x:v>Customer 014</x:v>
      </x:c>
      <x:c r="H12" s="18" t="n">
        <x:v>5694.6987616</x:v>
      </x:c>
    </x:row>
    <x:row r="13">
      <x:c r="A13" t="str">
        <x:v>Product 056</x:v>
      </x:c>
      <x:c r="B13" s="18" t="n">
        <x:v>6018.827748</x:v>
      </x:c>
      <x:c r="D13" t="str">
        <x:v>Category 09</x:v>
      </x:c>
      <x:c r="E13" s="18" t="n">
        <x:v>-2588.087154</x:v>
      </x:c>
      <x:c r="G13" t="str">
        <x:v>Customer 002</x:v>
      </x:c>
      <x:c r="H13" s="18" t="n">
        <x:v>5673.4568727999995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34" hidden="0" customWidth="1"/>
    <x:col min="6" max="6" width="3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>
      <x:c r="A1" s="124" t="str">
        <x:v>RAW DATA REMOVED FROM PUBLIC PORTFOLIO VERSION</x:v>
      </x:c>
      <x:c r="B1" s="124"/>
      <x:c r="C1" s="124"/>
      <x:c r="D1" s="124"/>
      <x:c r="E1" s="124"/>
      <x:c r="F1" s="124"/>
      <x:c r="G1" s="124"/>
      <x:c r="H1" s="124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</x:row>
    <x:row r="2">
      <x:c r="A2" s="6" t="str">
        <x:v>Original transaction-level data is intentionally excluded to protect confidential business, customer, pricing and transaction information.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24" t="str">
        <x:v>RAW DATA REMOVED FROM PUBLIC PORTFOLIO VERSION</x:v>
      </x:c>
      <x:c r="B1" s="124"/>
      <x:c r="C1" s="124"/>
      <x:c r="D1" s="124"/>
      <x:c r="E1" s="124"/>
      <x:c r="F1" s="124"/>
      <x:c r="G1" s="124"/>
      <x:c r="H1" s="124"/>
      <x:c r="I1" s="6"/>
      <x:c r="J1" s="6"/>
      <x:c r="K1" s="6"/>
    </x:row>
    <x:row r="2">
      <x:c r="A2" s="121" t="str">
        <x:v>Original transaction-level data is intentionally excluded to protect confidential business, customer, pricing and transaction information.</x:v>
      </x:c>
      <x:c r="B2" s="121"/>
      <x:c r="C2" s="121"/>
      <x:c r="D2" s="121"/>
      <x:c r="E2" s="121"/>
      <x:c r="F2" s="121"/>
      <x:c r="G2" s="121"/>
      <x:c r="H2" s="121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>
      <x:c r="A5"/>
      <x:c r="B5"/>
      <x:c r="C5"/>
      <x:c r="D5"/>
      <x:c r="E5"/>
      <x:c r="F5"/>
      <x:c r="G5"/>
      <x:c r="H5"/>
      <x:c r="I5"/>
      <x:c r="J5"/>
      <x:c r="K5"/>
    </x:row>
    <x:row r="6">
      <x:c r="A6"/>
      <x:c r="B6"/>
      <x:c r="C6"/>
      <x:c r="D6"/>
      <x:c r="E6"/>
      <x:c r="F6"/>
      <x:c r="G6"/>
      <x:c r="H6"/>
      <x:c r="I6"/>
      <x:c r="J6"/>
      <x:c r="K6"/>
    </x:row>
    <x:row r="7">
      <x:c r="A7"/>
      <x:c r="B7"/>
      <x:c r="C7"/>
      <x:c r="D7"/>
      <x:c r="E7"/>
      <x:c r="F7"/>
      <x:c r="G7"/>
      <x:c r="H7"/>
      <x:c r="I7"/>
      <x:c r="J7"/>
      <x:c r="K7"/>
    </x:row>
    <x:row r="8">
      <x:c r="A8"/>
      <x:c r="B8"/>
      <x:c r="C8"/>
      <x:c r="D8"/>
      <x:c r="E8"/>
      <x:c r="F8"/>
      <x:c r="G8"/>
      <x:c r="H8"/>
      <x:c r="I8"/>
      <x:c r="J8"/>
      <x:c r="K8"/>
    </x:row>
    <x:row r="9">
      <x:c r="A9"/>
      <x:c r="B9"/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/>
      <x:c r="B11"/>
      <x:c r="C11"/>
      <x:c r="D11"/>
      <x:c r="E11"/>
      <x:c r="F11"/>
      <x:c r="G11"/>
      <x:c r="H11"/>
      <x:c r="I11"/>
      <x:c r="J11"/>
      <x:c r="K11"/>
    </x:row>
    <x:row r="12">
      <x:c r="A12"/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/>
      <x:c r="C26"/>
      <x:c r="D26"/>
      <x:c r="E26"/>
      <x:c r="F26"/>
      <x:c r="G26"/>
      <x:c r="H26"/>
      <x:c r="I26"/>
      <x:c r="J26"/>
      <x:c r="K26"/>
    </x:row>
    <x:row r="27">
      <x:c r="A27"/>
      <x:c r="B27"/>
      <x:c r="C27"/>
      <x:c r="D27"/>
      <x:c r="E27"/>
      <x:c r="F27"/>
      <x:c r="G27"/>
      <x:c r="H27"/>
      <x:c r="I27"/>
      <x:c r="J27"/>
      <x:c r="K27"/>
    </x:row>
    <x:row r="28">
      <x:c r="A28"/>
      <x:c r="B28"/>
      <x:c r="C28"/>
      <x:c r="D28"/>
      <x:c r="E28"/>
      <x:c r="F28"/>
      <x:c r="G28"/>
      <x:c r="H28"/>
      <x:c r="I28"/>
      <x:c r="J28"/>
      <x:c r="K28"/>
    </x:row>
    <x:row r="29">
      <x:c r="A29"/>
      <x:c r="B29"/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  <x:row r="46">
      <x:c r="A46"/>
      <x:c r="B46"/>
      <x:c r="C46"/>
      <x:c r="D46"/>
      <x:c r="E46"/>
      <x:c r="F46"/>
      <x:c r="G46"/>
      <x:c r="H46"/>
      <x:c r="I46"/>
      <x:c r="J46"/>
      <x:c r="K46"/>
    </x:row>
    <x:row r="47">
      <x:c r="A47"/>
      <x:c r="B47"/>
      <x:c r="C47"/>
      <x:c r="D47"/>
      <x:c r="E47"/>
      <x:c r="F47"/>
      <x:c r="G47"/>
      <x:c r="H47"/>
      <x:c r="I47"/>
      <x:c r="J47"/>
      <x:c r="K47"/>
    </x:row>
    <x:row r="48">
      <x:c r="A48"/>
      <x:c r="B48"/>
      <x:c r="C48"/>
      <x:c r="D48"/>
      <x:c r="E48"/>
      <x:c r="F48"/>
      <x:c r="G48"/>
      <x:c r="H48"/>
      <x:c r="I48"/>
      <x:c r="J48"/>
      <x:c r="K48"/>
    </x:row>
    <x:row r="49">
      <x:c r="A49"/>
      <x:c r="B49"/>
      <x:c r="C49"/>
      <x:c r="D49"/>
      <x:c r="E49"/>
      <x:c r="F49"/>
      <x:c r="G49"/>
      <x:c r="H49"/>
      <x:c r="I49"/>
      <x:c r="J49"/>
      <x:c r="K49"/>
    </x:row>
    <x:row r="50">
      <x:c r="A50"/>
      <x:c r="B50"/>
      <x:c r="C50"/>
      <x:c r="D50"/>
      <x:c r="E50"/>
      <x:c r="F50"/>
      <x:c r="G50"/>
      <x:c r="H50"/>
      <x:c r="I50"/>
      <x:c r="J50"/>
      <x:c r="K50"/>
    </x:row>
    <x:row r="51">
      <x:c r="A51"/>
      <x:c r="B51"/>
      <x:c r="C51"/>
      <x:c r="D51"/>
      <x:c r="E51"/>
      <x:c r="F51"/>
      <x:c r="G51"/>
      <x:c r="H51"/>
      <x:c r="I51"/>
      <x:c r="J51"/>
      <x:c r="K51"/>
    </x:row>
    <x:row r="52">
      <x:c r="A52"/>
      <x:c r="B52"/>
      <x:c r="C52"/>
      <x:c r="D52"/>
      <x:c r="E52"/>
      <x:c r="F52"/>
      <x:c r="G52"/>
      <x:c r="H52"/>
      <x:c r="I52"/>
      <x:c r="J52"/>
      <x:c r="K52"/>
    </x:row>
    <x:row r="53">
      <x:c r="A53"/>
      <x:c r="B53"/>
      <x:c r="C53"/>
      <x:c r="D53"/>
      <x:c r="E53"/>
      <x:c r="F53"/>
      <x:c r="G53"/>
      <x:c r="H53"/>
      <x:c r="I53"/>
      <x:c r="J53"/>
      <x:c r="K53"/>
    </x:row>
    <x:row r="54">
      <x:c r="A54"/>
      <x:c r="B54"/>
      <x:c r="C54"/>
      <x:c r="D54"/>
      <x:c r="E54"/>
      <x:c r="F54"/>
      <x:c r="G54"/>
      <x:c r="H54"/>
      <x:c r="I54"/>
      <x:c r="J54"/>
      <x:c r="K54"/>
    </x:row>
    <x:row r="55">
      <x:c r="A55"/>
      <x:c r="B55"/>
      <x:c r="C55"/>
      <x:c r="D55"/>
      <x:c r="E55"/>
      <x:c r="F55"/>
      <x:c r="G55"/>
      <x:c r="H55"/>
      <x:c r="I55"/>
      <x:c r="J55"/>
      <x:c r="K55"/>
    </x:row>
    <x:row r="56">
      <x:c r="A56"/>
      <x:c r="B56"/>
      <x:c r="C56"/>
      <x:c r="D56"/>
      <x:c r="E56"/>
      <x:c r="F56"/>
      <x:c r="G56"/>
      <x:c r="H56"/>
      <x:c r="I56"/>
      <x:c r="J56"/>
      <x:c r="K56"/>
    </x:row>
    <x:row r="57">
      <x:c r="A57"/>
      <x:c r="B57"/>
      <x:c r="C57"/>
      <x:c r="D57"/>
      <x:c r="E57"/>
      <x:c r="F57"/>
      <x:c r="G57"/>
      <x:c r="H57"/>
      <x:c r="I57"/>
      <x:c r="J57"/>
      <x:c r="K57"/>
    </x:row>
    <x:row r="58">
      <x:c r="A58"/>
      <x:c r="B58"/>
      <x:c r="C58"/>
      <x:c r="D58"/>
      <x:c r="E58"/>
      <x:c r="F58"/>
      <x:c r="G58"/>
      <x:c r="H58"/>
      <x:c r="I58"/>
      <x:c r="J58"/>
      <x:c r="K58"/>
    </x:row>
    <x:row r="59">
      <x:c r="A59"/>
      <x:c r="B59"/>
      <x:c r="C59"/>
      <x:c r="D59"/>
      <x:c r="E59"/>
      <x:c r="F59"/>
      <x:c r="G59"/>
      <x:c r="H59"/>
      <x:c r="I59"/>
      <x:c r="J59"/>
      <x:c r="K59"/>
    </x:row>
    <x:row r="60">
      <x:c r="A60"/>
      <x:c r="B60"/>
      <x:c r="C60"/>
      <x:c r="D60"/>
      <x:c r="E60"/>
      <x:c r="F60"/>
      <x:c r="G60"/>
      <x:c r="H60"/>
      <x:c r="I60"/>
      <x:c r="J60"/>
      <x:c r="K60"/>
    </x:row>
    <x:row r="61">
      <x:c r="A61"/>
      <x:c r="B61"/>
      <x:c r="C61"/>
      <x:c r="D61"/>
      <x:c r="E61"/>
      <x:c r="F61"/>
      <x:c r="G61"/>
      <x:c r="H61"/>
      <x:c r="I61"/>
      <x:c r="J61"/>
      <x:c r="K61"/>
    </x:row>
    <x:row r="62">
      <x:c r="A62"/>
      <x:c r="B62"/>
      <x:c r="C62"/>
      <x:c r="D62"/>
      <x:c r="E62"/>
      <x:c r="F62"/>
      <x:c r="G62"/>
      <x:c r="H62"/>
      <x:c r="I62"/>
      <x:c r="J62"/>
      <x:c r="K62"/>
    </x:row>
    <x:row r="63">
      <x:c r="A63"/>
      <x:c r="B63"/>
      <x:c r="C63"/>
      <x:c r="D63"/>
      <x:c r="E63"/>
      <x:c r="F63"/>
      <x:c r="G63"/>
      <x:c r="H63"/>
      <x:c r="I63"/>
      <x:c r="J63"/>
      <x:c r="K63"/>
    </x:row>
    <x:row r="64">
      <x:c r="A64"/>
      <x:c r="B64"/>
      <x:c r="C64"/>
      <x:c r="D64"/>
      <x:c r="E64"/>
      <x:c r="F64"/>
      <x:c r="G64"/>
      <x:c r="H64"/>
      <x:c r="I64"/>
      <x:c r="J64"/>
      <x:c r="K64"/>
    </x:row>
    <x:row r="65">
      <x:c r="A65"/>
      <x:c r="B65"/>
      <x:c r="C65"/>
      <x:c r="D65"/>
      <x:c r="E65"/>
      <x:c r="F65"/>
      <x:c r="G65"/>
      <x:c r="H65"/>
      <x:c r="I65"/>
      <x:c r="J65"/>
      <x:c r="K65"/>
    </x:row>
    <x:row r="66">
      <x:c r="A66"/>
      <x:c r="B66"/>
      <x:c r="C66"/>
      <x:c r="D66"/>
      <x:c r="E66"/>
      <x:c r="F66"/>
      <x:c r="G66"/>
      <x:c r="H66"/>
      <x:c r="I66"/>
      <x:c r="J66"/>
      <x:c r="K66"/>
    </x:row>
    <x:row r="67">
      <x:c r="A67"/>
      <x:c r="B67"/>
      <x:c r="C67"/>
      <x:c r="D67"/>
      <x:c r="E67"/>
      <x:c r="F67"/>
      <x:c r="G67"/>
      <x:c r="H67"/>
      <x:c r="I67"/>
      <x:c r="J67"/>
      <x:c r="K67"/>
    </x:row>
    <x:row r="68">
      <x:c r="A68"/>
      <x:c r="B68"/>
      <x:c r="C68"/>
      <x:c r="D68"/>
      <x:c r="E68"/>
      <x:c r="F68"/>
      <x:c r="G68"/>
      <x:c r="H68"/>
      <x:c r="I68"/>
      <x:c r="J68"/>
      <x:c r="K68"/>
    </x:row>
    <x:row r="69">
      <x:c r="A69"/>
      <x:c r="B69"/>
      <x:c r="C69"/>
      <x:c r="D69"/>
      <x:c r="E69"/>
      <x:c r="F69"/>
      <x:c r="G69"/>
      <x:c r="H69"/>
      <x:c r="I69"/>
      <x:c r="J69"/>
      <x:c r="K69"/>
    </x:row>
    <x:row r="70">
      <x:c r="A70"/>
      <x:c r="B70"/>
      <x:c r="C70"/>
      <x:c r="D70"/>
      <x:c r="E70"/>
      <x:c r="F70"/>
      <x:c r="G70"/>
      <x:c r="H70"/>
      <x:c r="I70"/>
      <x:c r="J70"/>
      <x:c r="K70"/>
    </x:row>
    <x:row r="71">
      <x:c r="A71"/>
      <x:c r="B71"/>
      <x:c r="C71"/>
      <x:c r="D71"/>
      <x:c r="E71"/>
      <x:c r="F71"/>
      <x:c r="G71"/>
      <x:c r="H71"/>
      <x:c r="I71"/>
      <x:c r="J71"/>
      <x:c r="K71"/>
    </x:row>
    <x:row r="72">
      <x:c r="A72"/>
      <x:c r="B72"/>
      <x:c r="C72"/>
      <x:c r="D72"/>
      <x:c r="E72"/>
      <x:c r="F72"/>
      <x:c r="G72"/>
      <x:c r="H72"/>
      <x:c r="I72"/>
      <x:c r="J72"/>
      <x:c r="K72"/>
    </x:row>
    <x:row r="73">
      <x:c r="A73"/>
      <x:c r="B73"/>
      <x:c r="C73"/>
      <x:c r="D73"/>
      <x:c r="E73"/>
      <x:c r="F73"/>
      <x:c r="G73"/>
      <x:c r="H73"/>
      <x:c r="I73"/>
      <x:c r="J73"/>
      <x:c r="K73"/>
    </x:row>
    <x:row r="74">
      <x:c r="A74"/>
      <x:c r="B74"/>
      <x:c r="C74"/>
      <x:c r="D74"/>
      <x:c r="E74"/>
      <x:c r="F74"/>
      <x:c r="G74"/>
      <x:c r="H74"/>
      <x:c r="I74"/>
      <x:c r="J74"/>
      <x:c r="K74"/>
    </x:row>
    <x:row r="75">
      <x:c r="A75"/>
      <x:c r="B75"/>
      <x:c r="C75"/>
      <x:c r="D75"/>
      <x:c r="E75"/>
      <x:c r="F75"/>
      <x:c r="G75"/>
      <x:c r="H75"/>
      <x:c r="I75"/>
      <x:c r="J75"/>
      <x:c r="K75"/>
    </x:row>
    <x:row r="76">
      <x:c r="A76"/>
      <x:c r="B76"/>
      <x:c r="C76"/>
      <x:c r="D76"/>
      <x:c r="E76"/>
      <x:c r="F76"/>
      <x:c r="G76"/>
      <x:c r="H76"/>
      <x:c r="I76"/>
      <x:c r="J76"/>
      <x:c r="K76"/>
    </x:row>
    <x:row r="77">
      <x:c r="A77"/>
      <x:c r="B77"/>
      <x:c r="C77"/>
      <x:c r="D77"/>
      <x:c r="E77"/>
      <x:c r="F77"/>
      <x:c r="G77"/>
      <x:c r="H77"/>
      <x:c r="I77"/>
      <x:c r="J77"/>
      <x:c r="K77"/>
    </x:row>
    <x:row r="78">
      <x:c r="A78"/>
      <x:c r="B78"/>
      <x:c r="C78"/>
      <x:c r="D78"/>
      <x:c r="E78"/>
      <x:c r="F78"/>
      <x:c r="G78"/>
      <x:c r="H78"/>
      <x:c r="I78"/>
      <x:c r="J78"/>
      <x:c r="K78"/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F80"/>
      <x:c r="G80"/>
      <x:c r="H80"/>
      <x:c r="I80"/>
      <x:c r="J80"/>
      <x:c r="K80"/>
    </x:row>
    <x:row r="81">
      <x:c r="A81"/>
      <x:c r="B81"/>
      <x:c r="C81"/>
      <x:c r="D81"/>
      <x:c r="E81"/>
      <x:c r="F81"/>
      <x:c r="G81"/>
      <x:c r="H81"/>
      <x:c r="I81"/>
      <x:c r="J81"/>
      <x:c r="K81"/>
    </x:row>
    <x:row r="82">
      <x:c r="A82"/>
      <x:c r="B82"/>
      <x:c r="C82"/>
      <x:c r="D82"/>
      <x:c r="E82"/>
      <x:c r="F82"/>
      <x:c r="G82"/>
      <x:c r="H82"/>
      <x:c r="I82"/>
      <x:c r="J82"/>
      <x:c r="K82"/>
    </x:row>
    <x:row r="83">
      <x:c r="A83"/>
      <x:c r="B83"/>
      <x:c r="C83"/>
      <x:c r="D83"/>
      <x:c r="E83"/>
      <x:c r="F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 ht="38.400001525878906" hidden="0" customHeight="1">
      <x:c r="A1" s="131" t="str">
        <x:v>PUBLIC PORTFOLIO VERSION — DATA PRIVACY NOTE</x:v>
      </x:c>
      <x:c r="B1" s="131"/>
      <x:c r="C1" s="131"/>
      <x:c r="D1" s="131"/>
      <x:c r="E1" s="131"/>
      <x:c r="F1" s="131"/>
    </x:row>
    <x:row r="2" ht="15" hidden="0" customHeight="1">
      <x:c r="A2" s="121"/>
      <x:c r="B2" s="121"/>
      <x:c r="C2" s="121"/>
      <x:c r="D2" s="121"/>
      <x:c r="E2" s="121"/>
      <x:c r="F2" s="121"/>
    </x:row>
    <x:row r="3" ht="26.399999618530273" hidden="0" customHeight="1">
      <x:c r="A3" s="132" t="str">
        <x:v>This workbook is a privacy-safe portfolio copy of a real Excel analysis project.</x:v>
      </x:c>
      <x:c r="B3" s="132"/>
      <x:c r="C3" s="132"/>
      <x:c r="D3" s="132"/>
      <x:c r="E3" s="132"/>
      <x:c r="F3" s="132"/>
    </x:row>
    <x:row r="4" ht="15" hidden="0" customHeight="1">
      <x:c r="A4" s="121"/>
      <x:c r="B4" s="121"/>
      <x:c r="C4" s="121"/>
      <x:c r="D4" s="121"/>
      <x:c r="E4" s="121"/>
      <x:c r="F4" s="121"/>
    </x:row>
    <x:row r="5" ht="39.599998474121094" hidden="0" customHeight="1">
      <x:c r="A5" s="133" t="str">
        <x:v>What was protected</x:v>
      </x:c>
      <x:c r="B5" s="133" t="str">
        <x:v>How it was protected</x:v>
      </x:c>
      <x:c r="C5" s="121"/>
      <x:c r="D5" s="121"/>
      <x:c r="E5" s="121"/>
      <x:c r="F5" s="121"/>
    </x:row>
    <x:row r="6" ht="66" hidden="0" customHeight="1">
      <x:c r="A6" s="121" t="str">
        <x:v>Customer / business names</x:v>
      </x:c>
      <x:c r="B6" s="121" t="str">
        <x:v>Replaced with generic Customer IDs</x:v>
      </x:c>
      <x:c r="C6" s="121"/>
      <x:c r="D6" s="121"/>
      <x:c r="E6" s="121"/>
      <x:c r="F6" s="121"/>
    </x:row>
    <x:row r="7" ht="79.19999694824219" hidden="0" customHeight="1">
      <x:c r="A7" s="121" t="str">
        <x:v>Product names and SKU codes</x:v>
      </x:c>
      <x:c r="B7" s="121" t="str">
        <x:v>Replaced with generic Product and SKU IDs</x:v>
      </x:c>
      <x:c r="C7" s="121"/>
      <x:c r="D7" s="121"/>
      <x:c r="E7" s="121"/>
      <x:c r="F7" s="121"/>
    </x:row>
    <x:row r="8" ht="66" hidden="0" customHeight="1">
      <x:c r="A8" s="121" t="str">
        <x:v>Category names</x:v>
      </x:c>
      <x:c r="B8" s="121" t="str">
        <x:v>Replaced with generic Category IDs</x:v>
      </x:c>
      <x:c r="C8" s="121"/>
      <x:c r="D8" s="121"/>
      <x:c r="E8" s="121"/>
      <x:c r="F8" s="121"/>
    </x:row>
    <x:row r="9" ht="79.19999694824219" hidden="0" customHeight="1">
      <x:c r="A9" s="121" t="str">
        <x:v>Financial and quantity values</x:v>
      </x:c>
      <x:c r="B9" s="121" t="str">
        <x:v>Transformed by fixed confidential scaling factors</x:v>
      </x:c>
      <x:c r="C9" s="121"/>
      <x:c r="D9" s="121"/>
      <x:c r="E9" s="121"/>
      <x:c r="F9" s="121"/>
    </x:row>
    <x:row r="10" ht="66" hidden="0" customHeight="1">
      <x:c r="A10" s="121" t="str">
        <x:v>Raw sales and purchase transactions</x:v>
      </x:c>
      <x:c r="B10" s="121" t="str">
        <x:v>Removed from the public version</x:v>
      </x:c>
      <x:c r="C10" s="121"/>
      <x:c r="D10" s="121"/>
      <x:c r="E10" s="121"/>
      <x:c r="F10" s="121"/>
    </x:row>
    <x:row r="11" ht="92.4000015258789" hidden="0" customHeight="1">
      <x:c r="A11" s="121" t="str">
        <x:v>Percentages / relative performance</x:v>
      </x:c>
      <x:c r="B11" s="121" t="str">
        <x:v>Preserved so the analytical logic remains demonstrable</x:v>
      </x:c>
      <x:c r="C11" s="121"/>
      <x:c r="D11" s="121"/>
      <x:c r="E11" s="121"/>
      <x:c r="F11" s="121"/>
    </x:row>
    <x:row r="12" ht="184.8000030517578" hidden="0" customHeight="1">
      <x:c r="A12" s="121" t="str">
        <x:v>Purpose</x:v>
      </x:c>
      <x:c r="B12" s="121" t="str">
        <x:v>Demonstrate Excel analysis, profitability logic, KPI reporting and dashboard design without publishing source business data</x:v>
      </x:c>
      <x:c r="C12" s="121"/>
      <x:c r="D12" s="121"/>
      <x:c r="E12" s="121"/>
      <x:c r="F12" s="121"/>
    </x:row>
  </x:sheetData>
  <x:mergeCells>
    <x:mergeCell ref="A1:F1"/>
    <x:mergeCell ref="A3:F3"/>
  </x:mergeCells>
  <x:pageMargins left="0.7" right="0.7" top="0.75" bottom="0.75" header="0.3" footer="0.3"/>
</x:worksheet>
</file>